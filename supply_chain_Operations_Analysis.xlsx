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23040" windowHeight="8784" activeTab="3"/>
  </bookViews>
  <sheets>
    <sheet name="sheet2" sheetId="4" r:id="rId1"/>
    <sheet name="Pivots" sheetId="5" r:id="rId2"/>
    <sheet name="Executive Analysis" sheetId="2" r:id="rId3"/>
    <sheet name="Operations &amp; Inventory Analysis" sheetId="7" r:id="rId4"/>
  </sheets>
  <definedNames>
    <definedName name="ExternalData_1" localSheetId="0" hidden="1">sheet2!$A$1:$U$1084</definedName>
    <definedName name="Slicer_Order_Status">#N/A</definedName>
    <definedName name="Slicer_Product_Category">#N/A</definedName>
    <definedName name="Slicer_State">#N/A</definedName>
    <definedName name="Slicer_Supplier">#N/A</definedName>
    <definedName name="Slicer_Warehouse">#N/A</definedName>
  </definedNames>
  <calcPr calcId="162913"/>
  <pivotCaches>
    <pivotCache cacheId="2"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Z3" i="4" l="1"/>
  <c r="X22" i="4"/>
  <c r="X23" i="4"/>
  <c r="X20" i="4"/>
  <c r="X19" i="4"/>
  <c r="X17" i="4"/>
  <c r="X15" i="4"/>
  <c r="X13" i="4"/>
  <c r="X12" i="4" l="1"/>
  <c r="X9" i="4"/>
  <c r="X6" i="4"/>
  <c r="X4" i="4"/>
  <c r="X3" i="4"/>
</calcChain>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<sst xmlns="http://schemas.openxmlformats.org/spreadsheetml/2006/main" count="9879" uniqueCount="1160">
  <si>
    <t>Order_ID</t>
  </si>
  <si>
    <t>Order_Date</t>
  </si>
  <si>
    <t>Warehouse</t>
  </si>
  <si>
    <t>Supplier</t>
  </si>
  <si>
    <t>Product_Category</t>
  </si>
  <si>
    <t>Product_Name</t>
  </si>
  <si>
    <t>State</t>
  </si>
  <si>
    <t>Transport_Mode</t>
  </si>
  <si>
    <t>Quantity</t>
  </si>
  <si>
    <t>Unit_Cost_INR</t>
  </si>
  <si>
    <t>Unit_Price_INR</t>
  </si>
  <si>
    <t>Inventory_Level</t>
  </si>
  <si>
    <t>Reorder_Level</t>
  </si>
  <si>
    <t>Delivery_Days</t>
  </si>
  <si>
    <t>On_Time_Delivery</t>
  </si>
  <si>
    <t>Shipping_Cost_INR</t>
  </si>
  <si>
    <t>Order_Status</t>
  </si>
  <si>
    <t>ORD00001</t>
  </si>
  <si>
    <t>Nagpur</t>
  </si>
  <si>
    <t>Alpha Supplies</t>
  </si>
  <si>
    <t>Personal Care</t>
  </si>
  <si>
    <t>Shampoo</t>
  </si>
  <si>
    <t>Chhattisgarh</t>
  </si>
  <si>
    <t>Rail</t>
  </si>
  <si>
    <t>No</t>
  </si>
  <si>
    <t>In Transit</t>
  </si>
  <si>
    <t>ORD00002</t>
  </si>
  <si>
    <t>Pune</t>
  </si>
  <si>
    <t>Apex Wholesale</t>
  </si>
  <si>
    <t>Home</t>
  </si>
  <si>
    <t>Mixer</t>
  </si>
  <si>
    <t>Madhya Pradesh</t>
  </si>
  <si>
    <t>Yes</t>
  </si>
  <si>
    <t>Delivered</t>
  </si>
  <si>
    <t>ORD00003</t>
  </si>
  <si>
    <t>Mumbai</t>
  </si>
  <si>
    <t>Vertex Supply</t>
  </si>
  <si>
    <t>Toothpaste</t>
  </si>
  <si>
    <t>Maharashtra</t>
  </si>
  <si>
    <t>Air</t>
  </si>
  <si>
    <t>Cancelled</t>
  </si>
  <si>
    <t>ORD00004</t>
  </si>
  <si>
    <t>Hyderabad</t>
  </si>
  <si>
    <t>Microwave</t>
  </si>
  <si>
    <t>ORD00005</t>
  </si>
  <si>
    <t>Face Wash</t>
  </si>
  <si>
    <t>Delayed</t>
  </si>
  <si>
    <t>ORD00006</t>
  </si>
  <si>
    <t>ORD00007</t>
  </si>
  <si>
    <t>Electronics</t>
  </si>
  <si>
    <t>Keyboard</t>
  </si>
  <si>
    <t>Road</t>
  </si>
  <si>
    <t>ORD00008</t>
  </si>
  <si>
    <t>Global Traders</t>
  </si>
  <si>
    <t>Grocery</t>
  </si>
  <si>
    <t>Oil</t>
  </si>
  <si>
    <t>Telangana</t>
  </si>
  <si>
    <t>ORD00009</t>
  </si>
  <si>
    <t>Fan</t>
  </si>
  <si>
    <t>ORD00010</t>
  </si>
  <si>
    <t>Soap</t>
  </si>
  <si>
    <t>ORD00011</t>
  </si>
  <si>
    <t>Prime Distributors</t>
  </si>
  <si>
    <t>Sugar</t>
  </si>
  <si>
    <t>ORD00012</t>
  </si>
  <si>
    <t>Mouse</t>
  </si>
  <si>
    <t>ORD00013</t>
  </si>
  <si>
    <t>ORD00014</t>
  </si>
  <si>
    <t>ORD00015</t>
  </si>
  <si>
    <t>Iron</t>
  </si>
  <si>
    <t>ORD00016</t>
  </si>
  <si>
    <t>ORD00017</t>
  </si>
  <si>
    <t>ORD00018</t>
  </si>
  <si>
    <t>Cooker</t>
  </si>
  <si>
    <t>ORD00019</t>
  </si>
  <si>
    <t>Monitor</t>
  </si>
  <si>
    <t>ORD00020</t>
  </si>
  <si>
    <t>ORD00021</t>
  </si>
  <si>
    <t>Flour</t>
  </si>
  <si>
    <t>ORD00022</t>
  </si>
  <si>
    <t>ORD00023</t>
  </si>
  <si>
    <t>Tea</t>
  </si>
  <si>
    <t>ORD00024</t>
  </si>
  <si>
    <t>ORD00025</t>
  </si>
  <si>
    <t>ORD00026</t>
  </si>
  <si>
    <t>ORD00027</t>
  </si>
  <si>
    <t>ORD00028</t>
  </si>
  <si>
    <t>Rice</t>
  </si>
  <si>
    <t>ORD00029</t>
  </si>
  <si>
    <t>Laptop</t>
  </si>
  <si>
    <t>ORD00030</t>
  </si>
  <si>
    <t>ORD00031</t>
  </si>
  <si>
    <t>ORD00032</t>
  </si>
  <si>
    <t>ORD00033</t>
  </si>
  <si>
    <t>Printer</t>
  </si>
  <si>
    <t>ORD00034</t>
  </si>
  <si>
    <t>ORD00035</t>
  </si>
  <si>
    <t>ORD00036</t>
  </si>
  <si>
    <t>ORD00037</t>
  </si>
  <si>
    <t>ORD00038</t>
  </si>
  <si>
    <t>Lotion</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</si>
  <si>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</si>
  <si>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</si>
  <si>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</si>
  <si>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</si>
  <si>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</si>
  <si>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</si>
  <si>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</si>
  <si>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</si>
  <si>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</si>
  <si>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</si>
  <si>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</si>
  <si>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</si>
  <si>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</si>
  <si>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</si>
  <si>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</si>
  <si>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</si>
  <si>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</si>
  <si>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</si>
  <si>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</si>
  <si>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</si>
  <si>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</si>
  <si>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</si>
  <si>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</si>
  <si>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</si>
  <si>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</si>
  <si>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</si>
  <si>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</si>
  <si>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</si>
  <si>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</si>
  <si>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</si>
  <si>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</si>
  <si>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</si>
  <si>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</si>
  <si>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</si>
  <si>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</si>
  <si>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</si>
  <si>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</si>
  <si>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</si>
  <si>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</si>
  <si>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</si>
  <si>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</si>
  <si>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</si>
  <si>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</si>
  <si>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</si>
  <si>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</si>
  <si>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</si>
  <si>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</si>
  <si>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</si>
  <si>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</si>
  <si>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</si>
  <si>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</si>
  <si>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</si>
  <si>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</si>
  <si>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</si>
  <si>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</si>
  <si>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</si>
  <si>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</si>
  <si>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</si>
  <si>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</si>
  <si>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</si>
  <si>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</si>
  <si>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</si>
  <si>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</si>
  <si>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</si>
  <si>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</si>
  <si>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</si>
  <si>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</si>
  <si>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</si>
  <si>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</si>
  <si>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</si>
  <si>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</si>
  <si>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</si>
  <si>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</si>
  <si>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</si>
  <si>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</si>
  <si>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</si>
  <si>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</si>
  <si>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</si>
  <si>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</si>
  <si>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</si>
  <si>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</si>
  <si>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</si>
  <si>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</si>
  <si>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</si>
  <si>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</si>
  <si>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</si>
  <si>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</si>
  <si>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</si>
  <si>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</si>
  <si>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</si>
  <si>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</si>
  <si>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</si>
  <si>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</si>
  <si>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</si>
  <si>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</si>
  <si>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</si>
  <si>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</si>
  <si>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</si>
  <si>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</si>
  <si>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</si>
  <si>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</si>
  <si>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</si>
  <si>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</si>
  <si>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</si>
  <si>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</si>
  <si>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</si>
  <si>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</si>
  <si>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</si>
  <si>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</si>
  <si>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</si>
  <si>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</si>
  <si>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</si>
  <si>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</si>
  <si>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</si>
  <si>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</si>
  <si>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</si>
  <si>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</si>
  <si>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</si>
  <si>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</si>
  <si>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</si>
  <si>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</si>
  <si>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</si>
  <si>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</si>
  <si>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</si>
  <si>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</si>
  <si>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</si>
  <si>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</si>
  <si>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</si>
  <si>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</si>
  <si>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</si>
  <si>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</si>
  <si>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</si>
  <si>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</si>
  <si>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</si>
  <si>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</si>
  <si>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</si>
  <si>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</si>
  <si>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</si>
  <si>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</si>
  <si>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</si>
  <si>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</si>
  <si>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</si>
  <si>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</si>
  <si>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</si>
  <si>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</si>
  <si>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</si>
  <si>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</si>
  <si>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</si>
  <si>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</si>
  <si>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</si>
  <si>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</si>
  <si>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</si>
  <si>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</si>
  <si>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</si>
  <si>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</si>
  <si>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</si>
  <si>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</si>
  <si>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</si>
  <si>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</si>
  <si>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</si>
  <si>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</si>
  <si>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</si>
  <si>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</si>
  <si>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</si>
  <si>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</si>
  <si>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</si>
  <si>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</si>
  <si>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</si>
  <si>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</si>
  <si>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</si>
  <si>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</si>
  <si>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</si>
  <si>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</si>
  <si>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</si>
  <si>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</si>
  <si>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</si>
  <si>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</si>
  <si>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</si>
  <si>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</si>
  <si>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</si>
  <si>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</si>
  <si>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</si>
  <si>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</si>
  <si>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</si>
  <si>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</si>
  <si>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</si>
  <si>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</si>
  <si>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</si>
  <si>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</si>
  <si>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</si>
  <si>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</si>
  <si>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</si>
  <si>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</si>
  <si>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</si>
  <si>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</si>
  <si>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</si>
  <si>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</si>
  <si>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</si>
  <si>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</si>
  <si>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</si>
  <si>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</si>
  <si>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</si>
  <si>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</si>
  <si>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</si>
  <si>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</si>
  <si>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</si>
  <si>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</si>
  <si>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</si>
  <si>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</si>
  <si>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</si>
  <si>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</si>
  <si>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</si>
  <si>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</si>
  <si>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</si>
  <si>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</si>
  <si>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</si>
  <si>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</si>
  <si>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</si>
  <si>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</si>
  <si>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</si>
  <si>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</si>
  <si>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</si>
  <si>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</si>
  <si>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</si>
  <si>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</si>
  <si>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</si>
  <si>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</si>
  <si>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</si>
  <si>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</si>
  <si>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</si>
  <si>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</si>
  <si>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</si>
  <si>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</si>
  <si>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</si>
  <si>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</si>
  <si>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</si>
  <si>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</si>
  <si>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</si>
  <si>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</si>
  <si>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</si>
  <si>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</si>
  <si>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</si>
  <si>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</si>
  <si>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</si>
  <si>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</si>
  <si>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</si>
  <si>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</si>
  <si>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</si>
  <si>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</si>
  <si>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</si>
  <si>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</si>
  <si>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</si>
  <si>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</si>
  <si>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</si>
  <si>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</si>
  <si>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</si>
  <si>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</si>
  <si>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</si>
  <si>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</si>
  <si>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</si>
  <si>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</si>
  <si>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</si>
  <si>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</si>
  <si>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</si>
  <si>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</si>
  <si>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</si>
  <si>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</si>
  <si>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</si>
  <si>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</si>
  <si>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</si>
  <si>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</si>
  <si>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</si>
  <si>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</si>
  <si>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</si>
  <si>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</si>
  <si>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</si>
  <si>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</si>
  <si>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</si>
  <si>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</si>
  <si>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</si>
  <si>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</si>
  <si>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</si>
  <si>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</si>
  <si>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</si>
  <si>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</si>
  <si>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</si>
  <si>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</si>
  <si>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</si>
  <si>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</si>
  <si>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</si>
  <si>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</si>
  <si>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</si>
  <si>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</si>
  <si>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</si>
  <si>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</si>
  <si>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</si>
  <si>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</si>
  <si>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</si>
  <si>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</si>
  <si>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</si>
  <si>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</si>
  <si>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</si>
  <si>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</si>
  <si>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</si>
  <si>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</si>
  <si>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</si>
  <si>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</si>
  <si>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</si>
  <si>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</si>
  <si>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</si>
  <si>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</si>
  <si>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</si>
  <si>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</si>
  <si>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</si>
  <si>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</si>
  <si>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</si>
  <si>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</si>
  <si>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</si>
  <si>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</si>
  <si>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</si>
  <si>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</si>
  <si>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</si>
  <si>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</si>
  <si>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</si>
  <si>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</si>
  <si>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</si>
  <si>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</si>
  <si>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</si>
  <si>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</si>
  <si>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</si>
  <si>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</si>
  <si>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</si>
  <si>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</si>
  <si>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</si>
  <si>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</si>
  <si>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</si>
  <si>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</si>
  <si>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</si>
  <si>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</si>
  <si>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</si>
  <si>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</si>
  <si>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</si>
  <si>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</si>
  <si>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</si>
  <si>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</si>
  <si>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</si>
  <si>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</si>
  <si>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</si>
  <si>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</si>
  <si>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</si>
  <si>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</si>
  <si>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</si>
  <si>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</si>
  <si>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</si>
  <si>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</si>
  <si>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</si>
  <si>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</si>
  <si>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</si>
  <si>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</si>
  <si>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</si>
  <si>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</si>
  <si>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</si>
  <si>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</si>
  <si>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</si>
  <si>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</si>
  <si>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</si>
  <si>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</si>
  <si>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</si>
  <si>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</si>
  <si>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</si>
  <si>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</si>
  <si>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</si>
  <si>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</si>
  <si>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</si>
  <si>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</si>
  <si>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</si>
  <si>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</si>
  <si>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</si>
  <si>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</si>
  <si>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</si>
  <si>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</si>
  <si>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</si>
  <si>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</si>
  <si>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</si>
  <si>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</si>
  <si>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</si>
  <si>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</si>
  <si>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</si>
  <si>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</si>
  <si>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</si>
  <si>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</si>
  <si>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</si>
  <si>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</si>
  <si>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</si>
  <si>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</si>
  <si>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</si>
  <si>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</si>
  <si>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</si>
  <si>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</si>
  <si>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</si>
  <si>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</si>
  <si>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</si>
  <si>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</si>
  <si>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</si>
  <si>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</si>
  <si>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</si>
  <si>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</si>
  <si>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</si>
  <si>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</si>
  <si>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</si>
  <si>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</si>
  <si>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</si>
  <si>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</si>
  <si>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</si>
  <si>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</si>
  <si>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</si>
  <si>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</si>
  <si>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</si>
  <si>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</si>
  <si>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</si>
  <si>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</si>
  <si>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</si>
  <si>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</si>
  <si>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</si>
  <si>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</si>
  <si>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</si>
  <si>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</si>
  <si>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</si>
  <si>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</si>
  <si>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</si>
  <si>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</si>
  <si>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</si>
  <si>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</si>
  <si>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</si>
  <si>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</si>
  <si>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</si>
  <si>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</si>
  <si>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</si>
  <si>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</si>
  <si>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</si>
  <si>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</si>
  <si>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</si>
  <si>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</si>
  <si>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</si>
  <si>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</si>
  <si>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</si>
  <si>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</si>
  <si>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</si>
  <si>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</si>
  <si>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</si>
  <si>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</si>
  <si>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</si>
  <si>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</si>
  <si>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</si>
  <si>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</si>
  <si>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</si>
  <si>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</si>
  <si>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</si>
  <si>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</si>
  <si>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</si>
  <si>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</si>
  <si>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</si>
  <si>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</si>
  <si>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</si>
  <si>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</si>
  <si>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</si>
  <si>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</si>
  <si>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</si>
  <si>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</si>
  <si>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</si>
  <si>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</si>
  <si>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</si>
  <si>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</si>
  <si>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</si>
  <si>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</si>
  <si>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</si>
  <si>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</si>
  <si>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</si>
  <si>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</si>
  <si>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</si>
  <si>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</si>
  <si>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</si>
  <si>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</si>
  <si>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</si>
  <si>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</si>
  <si>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</si>
  <si>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</si>
  <si>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</si>
  <si>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</si>
  <si>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</si>
  <si>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</si>
  <si>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</si>
  <si>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</si>
  <si>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</si>
  <si>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</si>
  <si>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</si>
  <si>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</si>
  <si>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</si>
  <si>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</si>
  <si>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</si>
  <si>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</si>
  <si>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</si>
  <si>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</si>
  <si>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</si>
  <si>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</si>
  <si>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</si>
  <si>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</si>
  <si>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</si>
  <si>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</si>
  <si>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</si>
  <si>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</si>
  <si>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</si>
  <si>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</si>
  <si>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</si>
  <si>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</si>
  <si>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</si>
  <si>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</si>
  <si>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</si>
  <si>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</si>
  <si>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</si>
  <si>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</si>
  <si>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</si>
  <si>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</si>
  <si>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</si>
  <si>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</si>
  <si>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</si>
  <si>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</si>
  <si>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</si>
  <si>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</si>
  <si>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</si>
  <si>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</si>
  <si>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</si>
  <si>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</si>
  <si>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</si>
  <si>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</si>
  <si>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</si>
  <si>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</si>
  <si>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</si>
  <si>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</si>
  <si>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</si>
  <si>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</si>
  <si>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</si>
  <si>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</si>
  <si>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</si>
  <si>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</si>
  <si>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</si>
  <si>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</si>
  <si>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</si>
  <si>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</si>
  <si>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</si>
  <si>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</si>
  <si>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</si>
  <si>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</si>
  <si>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</si>
  <si>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</si>
  <si>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</si>
  <si>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</si>
  <si>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</si>
  <si>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</si>
  <si>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</si>
  <si>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</si>
  <si>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</si>
  <si>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</si>
  <si>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</si>
  <si>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</si>
  <si>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</si>
  <si>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</si>
  <si>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</si>
  <si>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</si>
  <si>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</si>
  <si>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</si>
  <si>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</si>
  <si>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</si>
  <si>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</si>
  <si>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</si>
  <si>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</si>
  <si>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</si>
  <si>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</si>
  <si>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</si>
  <si>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</si>
  <si>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</si>
  <si>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</si>
  <si>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</si>
  <si>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</si>
  <si>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</si>
  <si>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</si>
  <si>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</si>
  <si>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</si>
  <si>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</si>
  <si>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</si>
  <si>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</si>
  <si>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</si>
  <si>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</si>
  <si>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</si>
  <si>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</si>
  <si>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</si>
  <si>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</si>
  <si>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</si>
  <si>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</si>
  <si>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</si>
  <si>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</si>
  <si>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</si>
  <si>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</si>
  <si>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</si>
  <si>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</si>
  <si>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</si>
  <si>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</si>
  <si>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</si>
  <si>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</si>
  <si>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</si>
  <si>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</si>
  <si>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</si>
  <si>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</si>
  <si>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</si>
  <si>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</si>
  <si>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</si>
  <si>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</si>
  <si>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</si>
  <si>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</si>
  <si>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</si>
  <si>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</si>
  <si>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</si>
  <si>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</si>
  <si>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</si>
  <si>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</si>
  <si>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</si>
  <si>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</si>
  <si>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</si>
  <si>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</si>
  <si>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</si>
  <si>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</si>
  <si>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</si>
  <si>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</si>
  <si>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</si>
  <si>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</si>
  <si>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</si>
  <si>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</si>
  <si>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</si>
  <si>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</si>
  <si>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</si>
  <si>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</si>
  <si>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</si>
  <si>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</si>
  <si>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</si>
  <si>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</si>
  <si>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</si>
  <si>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</si>
  <si>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</si>
  <si>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</si>
  <si>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</si>
  <si>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</si>
  <si>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</si>
  <si>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</si>
  <si>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</si>
  <si>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</si>
  <si>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</si>
  <si>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</si>
  <si>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</si>
  <si>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</si>
  <si>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</si>
  <si>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</si>
  <si>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</si>
  <si>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</si>
  <si>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</si>
  <si>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</si>
  <si>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</si>
  <si>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</si>
  <si>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</si>
  <si>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</si>
  <si>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</si>
  <si>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</si>
  <si>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</si>
  <si>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</si>
  <si>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</si>
  <si>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</si>
  <si>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</si>
  <si>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</si>
  <si>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</si>
  <si>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</si>
  <si>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</si>
  <si>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</si>
  <si>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</si>
  <si>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</si>
  <si>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</si>
  <si>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</si>
  <si>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</si>
  <si>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</si>
  <si>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</si>
  <si>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</si>
  <si>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</si>
  <si>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</si>
  <si>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</si>
  <si>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</si>
  <si>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</si>
  <si>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</si>
  <si>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</si>
  <si>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</si>
  <si>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</si>
  <si>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</si>
  <si>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</si>
  <si>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</si>
  <si>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</si>
  <si>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</si>
  <si>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</si>
  <si>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</si>
  <si>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</si>
  <si>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</si>
  <si>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</si>
  <si>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</si>
  <si>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</si>
  <si>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</si>
  <si>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</si>
  <si>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</si>
  <si>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</si>
  <si>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</si>
  <si>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</si>
  <si>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</si>
  <si>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</si>
  <si>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</si>
  <si>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</si>
  <si>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</si>
  <si>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</si>
  <si>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</si>
  <si>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</si>
  <si>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</si>
  <si>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</si>
  <si>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</si>
  <si>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</si>
  <si>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</si>
  <si>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</si>
  <si>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</si>
  <si>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</si>
  <si>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</si>
  <si>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</si>
  <si>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</si>
  <si>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</si>
  <si>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</si>
  <si>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</si>
  <si>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</si>
  <si>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</si>
  <si>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</si>
  <si>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</si>
  <si>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</si>
  <si>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</si>
  <si>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</si>
  <si>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</si>
  <si>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</si>
  <si>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</si>
  <si>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</si>
  <si>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</si>
  <si>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</si>
  <si>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</si>
  <si>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</si>
  <si>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</si>
  <si>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</si>
  <si>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</si>
  <si>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</si>
  <si>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</si>
  <si>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</si>
  <si>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</si>
  <si>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</si>
  <si>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</si>
  <si>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</si>
  <si>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</si>
  <si>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</si>
  <si>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</si>
  <si>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</si>
  <si>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</si>
  <si>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</si>
  <si>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</si>
  <si>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</si>
  <si>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</si>
  <si>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</si>
  <si>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</si>
  <si>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</si>
  <si>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</si>
  <si>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</si>
  <si>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</si>
  <si>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</si>
  <si>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</si>
  <si>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</si>
  <si>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</si>
  <si>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</si>
  <si>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</si>
  <si>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</si>
  <si>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</si>
  <si>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</si>
  <si>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</si>
  <si>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</si>
  <si>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</si>
  <si>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</si>
  <si>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</si>
  <si>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</si>
  <si>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</si>
  <si>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</si>
  <si>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</si>
  <si>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</si>
  <si>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</si>
  <si>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</si>
  <si>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</si>
  <si>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</si>
  <si>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</si>
  <si>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</si>
  <si>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</si>
  <si>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</si>
  <si>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</si>
  <si>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</si>
  <si>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</si>
  <si>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</si>
  <si>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</si>
  <si>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</si>
  <si>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</si>
  <si>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</si>
  <si>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</si>
  <si>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</si>
  <si>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</si>
  <si>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</si>
  <si>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</si>
  <si>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</si>
  <si>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</si>
  <si>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</si>
  <si>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</si>
  <si>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</si>
  <si>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</si>
  <si>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</si>
  <si>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</si>
  <si>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</si>
  <si>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</si>
  <si>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</si>
  <si>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</si>
  <si>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</si>
  <si>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</si>
  <si>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</si>
  <si>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</si>
  <si>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</si>
  <si>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</si>
  <si>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</si>
  <si>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</si>
  <si>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</si>
  <si>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</si>
  <si>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</si>
  <si>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</si>
  <si>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</si>
  <si>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</si>
  <si>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</si>
  <si>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</si>
  <si>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</si>
  <si>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</si>
  <si>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</si>
  <si>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</si>
  <si>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</si>
  <si>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</si>
  <si>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</si>
  <si>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</si>
  <si>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</si>
  <si>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</si>
  <si>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</si>
  <si>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</si>
  <si>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</si>
  <si>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</si>
  <si>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</si>
  <si>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</si>
  <si>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</si>
  <si>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</si>
  <si>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</si>
  <si>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</si>
  <si>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</si>
  <si>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</si>
  <si>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</si>
  <si>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</si>
  <si>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</si>
  <si>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</si>
  <si>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</si>
  <si>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</si>
  <si>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</si>
  <si>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</si>
  <si>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</si>
  <si>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</si>
  <si>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</si>
  <si>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</si>
  <si>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</si>
  <si>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</si>
  <si>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</si>
  <si>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</si>
  <si>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</si>
  <si>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</si>
  <si>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</si>
  <si>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</si>
  <si>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</si>
  <si>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</si>
  <si>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</si>
  <si>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</si>
  <si>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</si>
  <si>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</si>
  <si>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</si>
  <si>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</si>
  <si>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</si>
  <si>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</si>
  <si>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</si>
  <si>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</si>
  <si>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</si>
  <si>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</si>
  <si>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</si>
  <si>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</si>
  <si>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</si>
  <si>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</si>
  <si>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</si>
  <si>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</si>
  <si>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</si>
  <si>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</si>
  <si>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</si>
  <si>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</si>
  <si>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</si>
  <si>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</si>
  <si>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</si>
  <si>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</si>
  <si>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</si>
  <si>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</si>
  <si>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</si>
  <si>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</si>
  <si>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</si>
  <si>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</si>
  <si>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</si>
  <si>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</si>
  <si>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</si>
  <si>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</si>
  <si>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</si>
  <si>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</si>
  <si>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</si>
  <si>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</si>
  <si>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</si>
  <si>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</si>
  <si>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</si>
  <si>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</si>
  <si>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</si>
  <si>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</si>
  <si>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</si>
  <si>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</si>
  <si>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</si>
  <si>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</si>
  <si>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</si>
  <si>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</si>
  <si>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</si>
  <si>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</si>
  <si>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</si>
  <si>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</si>
  <si>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</si>
  <si>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</si>
  <si>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</si>
  <si>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</si>
  <si>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</si>
  <si>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</si>
  <si>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</si>
  <si>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</si>
  <si>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</si>
  <si>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</si>
  <si>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</si>
  <si>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</si>
  <si>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</si>
  <si>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</si>
  <si>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</si>
  <si>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</si>
  <si>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</si>
  <si>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</si>
  <si>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</si>
  <si>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</si>
  <si>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</si>
  <si>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</si>
  <si>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</si>
  <si>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</si>
  <si>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</si>
  <si>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</si>
  <si>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</si>
  <si>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</si>
  <si>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</si>
  <si>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</si>
  <si>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</si>
  <si>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</si>
  <si>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</si>
  <si>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</si>
  <si>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</si>
  <si>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</si>
  <si>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</si>
  <si>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</si>
  <si>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</si>
  <si>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</si>
  <si>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</si>
  <si>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</si>
  <si>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</si>
  <si>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</si>
  <si>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</si>
  <si>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</si>
  <si>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</si>
  <si>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</si>
  <si>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</si>
  <si>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</si>
  <si>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</si>
  <si>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</si>
  <si>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</si>
  <si>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</si>
  <si>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</si>
  <si>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</si>
  <si>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</si>
  <si>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</si>
  <si>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</si>
  <si>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</si>
  <si>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</si>
  <si>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</si>
  <si>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</si>
  <si>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</si>
  <si>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</si>
  <si>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</si>
  <si>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</si>
  <si>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</si>
  <si>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</si>
  <si>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</si>
  <si>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</si>
  <si>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</si>
  <si>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</si>
  <si>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</si>
  <si>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</si>
  <si>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</si>
  <si>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</si>
  <si>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</si>
  <si>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</si>
  <si>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</si>
  <si>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</si>
  <si>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</si>
  <si>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</si>
  <si>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</si>
  <si>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</si>
  <si>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</si>
  <si>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</si>
  <si>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</si>
  <si>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</si>
  <si>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</si>
  <si>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</si>
  <si>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</si>
  <si>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</si>
  <si>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</si>
  <si>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</si>
  <si>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</si>
  <si>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</si>
  <si>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</si>
  <si>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</si>
  <si>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Revenue</t>
  </si>
  <si>
    <t>Profit</t>
  </si>
  <si>
    <t>Row Labels</t>
  </si>
  <si>
    <t>Grand Total</t>
  </si>
  <si>
    <t>Order_Date - Copy</t>
  </si>
  <si>
    <t>Month</t>
  </si>
  <si>
    <t>Count of Order_ID</t>
  </si>
  <si>
    <t>Sum of Revenue</t>
  </si>
  <si>
    <t>Average of Inventory_Level</t>
  </si>
  <si>
    <t>Average of Reorder_Level</t>
  </si>
  <si>
    <t>Sum of Profit</t>
  </si>
  <si>
    <t>Sum of Shipping_Cost_INR</t>
  </si>
  <si>
    <t>Average of Delivery_Days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</si>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</sst>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 #,##0.00"/>
    <numFmt numFmtId="165" formatCode="&quot;₹&quot;\ #,##0.0"/>
    <numFmt numFmtId="166" formatCode="0.0"/>
    <numFmt numFmtId="167" formatCode="&quot;₹&quot;\ #,##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0" fontId="0" fillId="2" borderId="0" xfId="0" applyFill="1"/>
    <xf numFmtId="167" fontId="0" fillId="0" borderId="0" xfId="0" applyNumberFormat="1"/>
  </cellXfs>
  <cellStyles count="1">
    <cellStyle name="Normal" xfId="0" builtinId="0"/>
  </cellStyles>
  <dxfs count="4">
    <dxf>
      <numFmt numFmtId="19" formatCode="dd/mm/yyyy"/>
    </dxf>
    <dxf>
      <numFmt numFmtId="164" formatCode="&quot;₹&quot;\ #,##0.00"/>
    </dxf>
    <dxf>
      <numFmt numFmtId="164" formatCode="&quot;₹&quot;\ #,##0.0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accent6">
                    <a:lumMod val="75000"/>
                  </a:schemeClr>
                </a:solidFill>
              </a:rPr>
              <a:t>MONTHLY ORDER TREND</a:t>
            </a:r>
          </a:p>
        </c:rich>
      </c:tx>
      <c:layout>
        <c:manualLayout>
          <c:xMode val="edge"/>
          <c:yMode val="edge"/>
          <c:x val="0.38073248407643318"/>
          <c:y val="1.3661202185792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571426183192069E-2"/>
          <c:y val="0.1281764984294996"/>
          <c:w val="0.895092532223281"/>
          <c:h val="0.64656533711974529"/>
        </c:manualLayout>
      </c:layout>
      <c:lineChart>
        <c:grouping val="standard"/>
        <c:varyColors val="0"/>
        <c:ser>
          <c:idx val="0"/>
          <c:order val="0"/>
          <c:tx>
            <c:strRef>
              <c:f>Pivots!$B$3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Pivots!$B$4:$B$16</c:f>
              <c:numCache>
                <c:formatCode>General</c:formatCode>
                <c:ptCount val="12"/>
                <c:pt idx="0">
                  <c:v>77</c:v>
                </c:pt>
                <c:pt idx="1">
                  <c:v>88</c:v>
                </c:pt>
                <c:pt idx="2">
                  <c:v>103</c:v>
                </c:pt>
                <c:pt idx="3">
                  <c:v>84</c:v>
                </c:pt>
                <c:pt idx="4">
                  <c:v>81</c:v>
                </c:pt>
                <c:pt idx="5">
                  <c:v>100</c:v>
                </c:pt>
                <c:pt idx="6">
                  <c:v>96</c:v>
                </c:pt>
                <c:pt idx="7">
                  <c:v>98</c:v>
                </c:pt>
                <c:pt idx="8">
                  <c:v>94</c:v>
                </c:pt>
                <c:pt idx="9">
                  <c:v>83</c:v>
                </c:pt>
                <c:pt idx="10">
                  <c:v>82</c:v>
                </c:pt>
                <c:pt idx="11">
                  <c:v>97</c:v>
                </c:pt>
              </c:numCache>
            </c:numRef>
          </c:val>
          <c:smooth val="0"/>
          <c:extLst>
            <c:ext xmlns:c16="http://schemas.microsoft.com/office/drawing/2014/chart" uri="{C3380CC4-5D6E-409C-BE32-E72D297353CC}">
              <c16:uniqueId val="{00000000-5DA7-40D2-B011-4CA4AEA621C1}"/>
            </c:ext>
          </c:extLst>
        </c:ser>
        <c:dLbls>
          <c:showLegendKey val="0"/>
          <c:showVal val="1"/>
          <c:showCatName val="0"/>
          <c:showSerName val="0"/>
          <c:showPercent val="0"/>
          <c:showBubbleSize val="0"/>
        </c:dLbls>
        <c:marker val="1"/>
        <c:smooth val="0"/>
        <c:axId val="692514752"/>
        <c:axId val="692519672"/>
      </c:lineChart>
      <c:catAx>
        <c:axId val="6925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2519672"/>
        <c:crosses val="autoZero"/>
        <c:auto val="1"/>
        <c:lblAlgn val="ctr"/>
        <c:lblOffset val="100"/>
        <c:noMultiLvlLbl val="0"/>
      </c:catAx>
      <c:valAx>
        <c:axId val="692519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2514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[supply_chain_Operations_Analysis.xlsx]Pivots!PivotTable3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accent6">
                    <a:lumMod val="75000"/>
                  </a:schemeClr>
                </a:solidFill>
              </a:rPr>
              <a:t>REVENUE BY PRODUCT CATEGORY</a:t>
            </a:r>
          </a:p>
        </c:rich>
      </c:tx>
      <c:layout>
        <c:manualLayout>
          <c:xMode val="edge"/>
          <c:yMode val="edge"/>
          <c:x val="0.28769599452242378"/>
          <c:y val="1.3717421124828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s>
    <c:plotArea>
      <c:layout>
        <c:manualLayout>
          <c:layoutTarget val="inner"/>
          <c:xMode val="edge"/>
          <c:yMode val="edge"/>
          <c:x val="0.28278671687778162"/>
          <c:y val="0.14242139485650709"/>
          <c:w val="0.67735821065845025"/>
          <c:h val="0.63684261689511024"/>
        </c:manualLayout>
      </c:layout>
      <c:barChart>
        <c:barDir val="col"/>
        <c:grouping val="stacked"/>
        <c:varyColors val="0"/>
        <c:ser>
          <c:idx val="0"/>
          <c:order val="0"/>
          <c:tx>
            <c:strRef>
              <c:f>Pivots!$E$3</c:f>
              <c:strCache>
                <c:ptCount val="1"/>
                <c:pt idx="0">
                  <c:v>Total</c:v>
                </c:pt>
              </c:strCache>
            </c:strRef>
          </c:tx>
          <c:spPr>
            <a:solidFill>
              <a:schemeClr val="accent6"/>
            </a:solidFill>
            <a:ln>
              <a:noFill/>
            </a:ln>
            <a:effectLst/>
          </c:spPr>
          <c:invertIfNegative val="0"/>
          <c:cat>
            <c:strRef>
              <c:f>Pivots!$D$4:$D$8</c:f>
              <c:strCache>
                <c:ptCount val="4"/>
                <c:pt idx="0">
                  <c:v>Electronics</c:v>
                </c:pt>
                <c:pt idx="1">
                  <c:v>Home</c:v>
                </c:pt>
                <c:pt idx="2">
                  <c:v>Personal Care</c:v>
                </c:pt>
                <c:pt idx="3">
                  <c:v>Grocery</c:v>
                </c:pt>
              </c:strCache>
            </c:strRef>
          </c:cat>
          <c:val>
            <c:numRef>
              <c:f>Pivots!$E$4:$E$8</c:f>
              <c:numCache>
                <c:formatCode>"₹"\ #,##0.0</c:formatCode>
                <c:ptCount val="4"/>
                <c:pt idx="0">
                  <c:v>232552658.08000025</c:v>
                </c:pt>
                <c:pt idx="1">
                  <c:v>232199174.35999998</c:v>
                </c:pt>
                <c:pt idx="2">
                  <c:v>229481005.35999995</c:v>
                </c:pt>
                <c:pt idx="3">
                  <c:v>210109065.43999997</c:v>
                </c:pt>
              </c:numCache>
            </c:numRef>
          </c:val>
          <c:extLst>
            <c:ext xmlns:c16="http://schemas.microsoft.com/office/drawing/2014/chart" uri="{C3380CC4-5D6E-409C-BE32-E72D297353CC}">
              <c16:uniqueId val="{00000000-D4B3-4D26-ACDD-44C4E7E9589F}"/>
            </c:ext>
          </c:extLst>
        </c:ser>
        <c:dLbls>
          <c:showLegendKey val="0"/>
          <c:showVal val="0"/>
          <c:showCatName val="0"/>
          <c:showSerName val="0"/>
          <c:showPercent val="0"/>
          <c:showBubbleSize val="0"/>
        </c:dLbls>
        <c:gapWidth val="75"/>
        <c:overlap val="100"/>
        <c:axId val="994166976"/>
        <c:axId val="994167632"/>
      </c:barChart>
      <c:catAx>
        <c:axId val="99416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4167632"/>
        <c:crosses val="autoZero"/>
        <c:auto val="1"/>
        <c:lblAlgn val="ctr"/>
        <c:lblOffset val="100"/>
        <c:noMultiLvlLbl val="0"/>
      </c:catAx>
      <c:valAx>
        <c:axId val="994167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166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accent6">
                    <a:lumMod val="75000"/>
                  </a:schemeClr>
                </a:solidFill>
              </a:rPr>
              <a:t>ORDER</a:t>
            </a:r>
            <a:r>
              <a:rPr lang="en-US" sz="900" b="1" baseline="0">
                <a:solidFill>
                  <a:schemeClr val="accent6">
                    <a:lumMod val="75000"/>
                  </a:schemeClr>
                </a:solidFill>
              </a:rPr>
              <a:t> STATUS DISTRIBUTION</a:t>
            </a:r>
            <a:endParaRPr lang="en-US" sz="900" b="1">
              <a:solidFill>
                <a:schemeClr val="accent6">
                  <a:lumMod val="75000"/>
                </a:schemeClr>
              </a:solidFill>
            </a:endParaRPr>
          </a:p>
        </c:rich>
      </c:tx>
      <c:layout>
        <c:manualLayout>
          <c:xMode val="edge"/>
          <c:yMode val="edge"/>
          <c:x val="0.23046383647798743"/>
          <c:y val="2.72108843537414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hade val="58000"/>
            </a:schemeClr>
          </a:solidFill>
          <a:ln w="19050">
            <a:solidFill>
              <a:schemeClr val="lt1"/>
            </a:solidFill>
          </a:ln>
          <a:effectLst/>
        </c:spPr>
      </c:pivotFmt>
      <c:pivotFmt>
        <c:idx val="4"/>
        <c:spPr>
          <a:solidFill>
            <a:schemeClr val="accent6">
              <a:shade val="86000"/>
            </a:schemeClr>
          </a:solidFill>
          <a:ln w="19050">
            <a:solidFill>
              <a:schemeClr val="lt1"/>
            </a:solidFill>
          </a:ln>
          <a:effectLst/>
        </c:spPr>
      </c:pivotFmt>
      <c:pivotFmt>
        <c:idx val="5"/>
        <c:spPr>
          <a:solidFill>
            <a:schemeClr val="accent6">
              <a:tint val="86000"/>
            </a:schemeClr>
          </a:solidFill>
          <a:ln w="19050">
            <a:solidFill>
              <a:schemeClr val="lt1"/>
            </a:solidFill>
          </a:ln>
          <a:effectLst/>
        </c:spPr>
      </c:pivotFmt>
      <c:pivotFmt>
        <c:idx val="6"/>
        <c:spPr>
          <a:solidFill>
            <a:schemeClr val="accent6">
              <a:tint val="58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hade val="58000"/>
            </a:schemeClr>
          </a:solidFill>
          <a:ln w="19050">
            <a:solidFill>
              <a:schemeClr val="lt1"/>
            </a:solidFill>
          </a:ln>
          <a:effectLst/>
        </c:spPr>
      </c:pivotFmt>
      <c:pivotFmt>
        <c:idx val="9"/>
        <c:spPr>
          <a:solidFill>
            <a:schemeClr val="accent6">
              <a:shade val="86000"/>
            </a:schemeClr>
          </a:solidFill>
          <a:ln w="19050">
            <a:solidFill>
              <a:schemeClr val="lt1"/>
            </a:solidFill>
          </a:ln>
          <a:effectLst/>
        </c:spPr>
      </c:pivotFmt>
      <c:pivotFmt>
        <c:idx val="10"/>
        <c:spPr>
          <a:solidFill>
            <a:schemeClr val="accent6">
              <a:tint val="86000"/>
            </a:schemeClr>
          </a:solidFill>
          <a:ln w="19050">
            <a:solidFill>
              <a:schemeClr val="lt1"/>
            </a:solidFill>
          </a:ln>
          <a:effectLst/>
        </c:spPr>
      </c:pivotFmt>
      <c:pivotFmt>
        <c:idx val="11"/>
        <c:spPr>
          <a:solidFill>
            <a:schemeClr val="accent6">
              <a:tint val="58000"/>
            </a:schemeClr>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6">
              <a:shade val="58000"/>
            </a:schemeClr>
          </a:solidFill>
          <a:ln w="19050">
            <a:solidFill>
              <a:schemeClr val="lt1"/>
            </a:solidFill>
          </a:ln>
          <a:effectLst/>
        </c:spPr>
      </c:pivotFmt>
      <c:pivotFmt>
        <c:idx val="14"/>
        <c:spPr>
          <a:solidFill>
            <a:schemeClr val="accent6">
              <a:shade val="86000"/>
            </a:schemeClr>
          </a:solidFill>
          <a:ln w="19050">
            <a:solidFill>
              <a:schemeClr val="lt1"/>
            </a:solidFill>
          </a:ln>
          <a:effectLst/>
        </c:spPr>
      </c:pivotFmt>
      <c:pivotFmt>
        <c:idx val="15"/>
        <c:spPr>
          <a:solidFill>
            <a:schemeClr val="accent6">
              <a:tint val="86000"/>
            </a:schemeClr>
          </a:solidFill>
          <a:ln w="19050">
            <a:solidFill>
              <a:schemeClr val="lt1"/>
            </a:solidFill>
          </a:ln>
          <a:effectLst/>
        </c:spPr>
      </c:pivotFmt>
      <c:pivotFmt>
        <c:idx val="16"/>
        <c:spPr>
          <a:solidFill>
            <a:schemeClr val="accent6">
              <a:tint val="58000"/>
            </a:schemeClr>
          </a:solidFill>
          <a:ln w="19050">
            <a:solidFill>
              <a:schemeClr val="lt1"/>
            </a:solidFill>
          </a:ln>
          <a:effectLst/>
        </c:spPr>
      </c:pivotFmt>
    </c:pivotFmts>
    <c:plotArea>
      <c:layout>
        <c:manualLayout>
          <c:layoutTarget val="inner"/>
          <c:xMode val="edge"/>
          <c:yMode val="edge"/>
          <c:x val="0.20913961521319269"/>
          <c:y val="0.14913921474101452"/>
          <c:w val="0.41720955281533206"/>
          <c:h val="0.72202796079061549"/>
        </c:manualLayout>
      </c:layout>
      <c:doughnutChart>
        <c:varyColors val="1"/>
        <c:ser>
          <c:idx val="0"/>
          <c:order val="0"/>
          <c:tx>
            <c:strRef>
              <c:f>Pivots!$E$10</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371C-4EC5-954F-847ED33D3163}"/>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371C-4EC5-954F-847ED33D3163}"/>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371C-4EC5-954F-847ED33D3163}"/>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371C-4EC5-954F-847ED33D31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Pivots!$D$11:$D$15</c:f>
              <c:strCache>
                <c:ptCount val="4"/>
                <c:pt idx="0">
                  <c:v>Cancelled</c:v>
                </c:pt>
                <c:pt idx="1">
                  <c:v>Delayed</c:v>
                </c:pt>
                <c:pt idx="2">
                  <c:v>Delivered</c:v>
                </c:pt>
                <c:pt idx="3">
                  <c:v>In Transit</c:v>
                </c:pt>
              </c:strCache>
            </c:strRef>
          </c:cat>
          <c:val>
            <c:numRef>
              <c:f>Pivots!$E$11:$E$15</c:f>
              <c:numCache>
                <c:formatCode>General</c:formatCode>
                <c:ptCount val="4"/>
                <c:pt idx="0">
                  <c:v>157</c:v>
                </c:pt>
                <c:pt idx="1">
                  <c:v>145</c:v>
                </c:pt>
                <c:pt idx="2">
                  <c:v>580</c:v>
                </c:pt>
                <c:pt idx="3">
                  <c:v>201</c:v>
                </c:pt>
              </c:numCache>
            </c:numRef>
          </c:val>
          <c:extLst>
            <c:ext xmlns:c16="http://schemas.microsoft.com/office/drawing/2014/chart" uri="{C3380CC4-5D6E-409C-BE32-E72D297353CC}">
              <c16:uniqueId val="{00000008-371C-4EC5-954F-847ED33D316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[supply_chain_Operations_Analysis.xlsx]Pivots!PivotTable4</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800">
                <a:solidFill>
                  <a:schemeClr val="accent6">
                    <a:lumMod val="75000"/>
                  </a:schemeClr>
                </a:solidFill>
              </a:rPr>
              <a:t>ORDER BY WAREHOUSE</a:t>
            </a:r>
          </a:p>
        </c:rich>
      </c:tx>
      <c:layout>
        <c:manualLayout>
          <c:xMode val="edge"/>
          <c:yMode val="edge"/>
          <c:x val="0.33200000000000002"/>
          <c:y val="1.851851851851851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155336832895888"/>
          <c:y val="0.14344925634295713"/>
          <c:w val="0.70889107611548552"/>
          <c:h val="0.74915135608048999"/>
        </c:manualLayout>
      </c:layout>
      <c:barChart>
        <c:barDir val="bar"/>
        <c:grouping val="stacked"/>
        <c:varyColors val="0"/>
        <c:ser>
          <c:idx val="0"/>
          <c:order val="0"/>
          <c:tx>
            <c:strRef>
              <c:f>Pivots!$H$3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Pivots!$G$4:$G$8</c:f>
              <c:strCache>
                <c:ptCount val="4"/>
                <c:pt idx="0">
                  <c:v>Hyderabad</c:v>
                </c:pt>
                <c:pt idx="1">
                  <c:v>Pune</c:v>
                </c:pt>
                <c:pt idx="2">
                  <c:v>Mumbai</c:v>
                </c:pt>
                <c:pt idx="3">
                  <c:v>Nagpur</c:v>
                </c:pt>
              </c:strCache>
            </c:strRef>
          </c:cat>
          <c:val>
            <c:numRef>
              <c:f>Pivots!$H$4:$H$8</c:f>
              <c:numCache>
                <c:formatCode>General</c:formatCode>
                <c:ptCount val="4"/>
                <c:pt idx="0">
                  <c:v>292</c:v>
                </c:pt>
                <c:pt idx="1">
                  <c:v>265</c:v>
                </c:pt>
                <c:pt idx="2">
                  <c:v>264</c:v>
                </c:pt>
                <c:pt idx="3">
                  <c:v>262</c:v>
                </c:pt>
              </c:numCache>
            </c:numRef>
          </c:val>
          <c:extLst>
            <c:ext xmlns:c16="http://schemas.microsoft.com/office/drawing/2014/chart" uri="{C3380CC4-5D6E-409C-BE32-E72D297353CC}">
              <c16:uniqueId val="{00000000-FE9D-4E85-9419-66A03F89B070}"/>
            </c:ext>
          </c:extLst>
        </c:ser>
        <c:dLbls>
          <c:dLblPos val="ctr"/>
          <c:showLegendKey val="0"/>
          <c:showVal val="1"/>
          <c:showCatName val="0"/>
          <c:showSerName val="0"/>
          <c:showPercent val="0"/>
          <c:showBubbleSize val="0"/>
        </c:dLbls>
        <c:gapWidth val="79"/>
        <c:overlap val="100"/>
        <c:axId val="385511912"/>
        <c:axId val="385513552"/>
      </c:barChart>
      <c:catAx>
        <c:axId val="385511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85513552"/>
        <c:crosses val="autoZero"/>
        <c:auto val="1"/>
        <c:lblAlgn val="ctr"/>
        <c:lblOffset val="100"/>
        <c:noMultiLvlLbl val="0"/>
      </c:catAx>
      <c:valAx>
        <c:axId val="385513552"/>
        <c:scaling>
          <c:orientation val="minMax"/>
        </c:scaling>
        <c:delete val="1"/>
        <c:axPos val="b"/>
        <c:numFmt formatCode="General" sourceLinked="1"/>
        <c:majorTickMark val="none"/>
        <c:minorTickMark val="none"/>
        <c:tickLblPos val="nextTo"/>
        <c:crossAx val="385511912"/>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accent6">
                    <a:lumMod val="75000"/>
                  </a:schemeClr>
                </a:solidFill>
              </a:rPr>
              <a:t>REVENUE BY STATE</a:t>
            </a:r>
          </a:p>
        </c:rich>
      </c:tx>
      <c:layout>
        <c:manualLayout>
          <c:xMode val="edge"/>
          <c:yMode val="edge"/>
          <c:x val="0.38165266841644796"/>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1.6666666666666666E-2"/>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2.7777777777777779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1.0185067526415994E-16"/>
              <c:y val="-0.250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1.6666666666666666E-2"/>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2.7777777777777779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1.0185067526415994E-16"/>
              <c:y val="-0.250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6666666666666666E-2"/>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7777777777777779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0185067526415994E-16"/>
              <c:y val="-0.250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pivotFmt>
      <c:pivotFmt>
        <c:idx val="1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592599051183339"/>
          <c:y val="0.12216885051530722"/>
          <c:w val="0.75284175508725804"/>
          <c:h val="0.72996888902400714"/>
        </c:manualLayout>
      </c:layout>
      <c:barChart>
        <c:barDir val="col"/>
        <c:grouping val="stacked"/>
        <c:varyColors val="0"/>
        <c:ser>
          <c:idx val="0"/>
          <c:order val="0"/>
          <c:tx>
            <c:strRef>
              <c:f>Pivots!$K$3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Pivots!$J$4:$J$8</c:f>
              <c:strCache>
                <c:ptCount val="4"/>
                <c:pt idx="0">
                  <c:v>Maharashtra</c:v>
                </c:pt>
                <c:pt idx="1">
                  <c:v>Chhattisgarh</c:v>
                </c:pt>
                <c:pt idx="2">
                  <c:v>Madhya Pradesh</c:v>
                </c:pt>
                <c:pt idx="3">
                  <c:v>Telangana</c:v>
                </c:pt>
              </c:strCache>
            </c:strRef>
          </c:cat>
          <c:val>
            <c:numRef>
              <c:f>Pivots!$K$4:$K$8</c:f>
              <c:numCache>
                <c:formatCode>"₹"\ #,##0.0</c:formatCode>
                <c:ptCount val="4"/>
                <c:pt idx="0">
                  <c:v>248972195.29000002</c:v>
                </c:pt>
                <c:pt idx="1">
                  <c:v>237521967.11000004</c:v>
                </c:pt>
                <c:pt idx="2">
                  <c:v>211976367.38999987</c:v>
                </c:pt>
                <c:pt idx="3">
                  <c:v>205871373.45000005</c:v>
                </c:pt>
              </c:numCache>
            </c:numRef>
          </c:val>
          <c:extLst>
            <c:ext xmlns:c16="http://schemas.microsoft.com/office/drawing/2014/chart" uri="{C3380CC4-5D6E-409C-BE32-E72D297353CC}">
              <c16:uniqueId val="{00000004-7A95-47F5-8922-4B2C23F5B99E}"/>
            </c:ext>
          </c:extLst>
        </c:ser>
        <c:dLbls>
          <c:showLegendKey val="0"/>
          <c:showVal val="1"/>
          <c:showCatName val="0"/>
          <c:showSerName val="0"/>
          <c:showPercent val="0"/>
          <c:showBubbleSize val="0"/>
        </c:dLbls>
        <c:gapWidth val="150"/>
        <c:overlap val="100"/>
        <c:axId val="679386288"/>
        <c:axId val="679381368"/>
      </c:barChart>
      <c:catAx>
        <c:axId val="67938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9381368"/>
        <c:crosses val="autoZero"/>
        <c:auto val="1"/>
        <c:lblAlgn val="ctr"/>
        <c:lblOffset val="100"/>
        <c:noMultiLvlLbl val="0"/>
      </c:catAx>
      <c:valAx>
        <c:axId val="679381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386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accent6">
                    <a:lumMod val="75000"/>
                  </a:schemeClr>
                </a:solidFill>
              </a:rPr>
              <a:t>TRANSPORT MODE USAGE</a:t>
            </a:r>
          </a:p>
        </c:rich>
      </c:tx>
      <c:layout>
        <c:manualLayout>
          <c:xMode val="edge"/>
          <c:yMode val="edge"/>
          <c:x val="0.31113725490196076"/>
          <c:y val="1.28700128700128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hade val="65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tint val="65000"/>
            </a:schemeClr>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hade val="65000"/>
            </a:schemeClr>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tint val="65000"/>
            </a:schemeClr>
          </a:solidFill>
          <a:ln w="19050">
            <a:solidFill>
              <a:schemeClr val="lt1"/>
            </a:solidFill>
          </a:ln>
          <a:effectLst/>
        </c:spPr>
      </c:pivotFmt>
      <c:pivotFmt>
        <c:idx val="10"/>
        <c:spPr>
          <a:solidFill>
            <a:schemeClr val="accent6"/>
          </a:solidFill>
          <a:ln w="19050">
            <a:solidFill>
              <a:schemeClr val="lt1"/>
            </a:solidFill>
          </a:ln>
          <a:effectLst/>
        </c:spPr>
        <c:marker>
          <c:symbol val="none"/>
        </c:marker>
      </c:pivotFmt>
      <c:pivotFmt>
        <c:idx val="11"/>
        <c:spPr>
          <a:solidFill>
            <a:schemeClr val="accent6">
              <a:shade val="65000"/>
            </a:schemeClr>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tint val="65000"/>
            </a:schemeClr>
          </a:solidFill>
          <a:ln w="19050">
            <a:solidFill>
              <a:schemeClr val="lt1"/>
            </a:solidFill>
          </a:ln>
          <a:effectLst/>
        </c:spPr>
      </c:pivotFmt>
      <c:pivotFmt>
        <c:idx val="14"/>
        <c:spPr>
          <a:solidFill>
            <a:schemeClr val="accent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4577335186042922"/>
          <c:y val="0.12422602580082893"/>
          <c:w val="0.45708074725953374"/>
          <c:h val="0.75003597523282561"/>
        </c:manualLayout>
      </c:layout>
      <c:doughnutChart>
        <c:varyColors val="1"/>
        <c:ser>
          <c:idx val="0"/>
          <c:order val="0"/>
          <c:tx>
            <c:strRef>
              <c:f>Pivots!$H$10</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03E8-43FE-9786-AA7DBB3B41A0}"/>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3E8-43FE-9786-AA7DBB3B41A0}"/>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03E8-43FE-9786-AA7DBB3B41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Pivots!$G$11:$G$14</c:f>
              <c:strCache>
                <c:ptCount val="3"/>
                <c:pt idx="0">
                  <c:v>Air</c:v>
                </c:pt>
                <c:pt idx="1">
                  <c:v>Rail</c:v>
                </c:pt>
                <c:pt idx="2">
                  <c:v>Road</c:v>
                </c:pt>
              </c:strCache>
            </c:strRef>
          </c:cat>
          <c:val>
            <c:numRef>
              <c:f>Pivots!$H$11:$H$14</c:f>
              <c:numCache>
                <c:formatCode>General</c:formatCode>
                <c:ptCount val="3"/>
                <c:pt idx="0">
                  <c:v>357</c:v>
                </c:pt>
                <c:pt idx="1">
                  <c:v>375</c:v>
                </c:pt>
                <c:pt idx="2">
                  <c:v>351</c:v>
                </c:pt>
              </c:numCache>
            </c:numRef>
          </c:val>
          <c:extLst>
            <c:ext xmlns:c16="http://schemas.microsoft.com/office/drawing/2014/chart" uri="{C3380CC4-5D6E-409C-BE32-E72D297353CC}">
              <c16:uniqueId val="{00000006-03E8-43FE-9786-AA7DBB3B41A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accent6">
                    <a:lumMod val="75000"/>
                  </a:schemeClr>
                </a:solidFill>
              </a:rPr>
              <a:t>TOP 10</a:t>
            </a:r>
            <a:r>
              <a:rPr lang="en-US" sz="800" b="1" baseline="0">
                <a:solidFill>
                  <a:schemeClr val="accent6">
                    <a:lumMod val="75000"/>
                  </a:schemeClr>
                </a:solidFill>
              </a:rPr>
              <a:t> PRODUCTS BY PROFIT</a:t>
            </a:r>
            <a:endParaRPr lang="en-US" sz="800" b="1">
              <a:solidFill>
                <a:schemeClr val="accent6">
                  <a:lumMod val="75000"/>
                </a:schemeClr>
              </a:solidFill>
            </a:endParaRPr>
          </a:p>
        </c:rich>
      </c:tx>
      <c:layout>
        <c:manualLayout>
          <c:xMode val="edge"/>
          <c:yMode val="edge"/>
          <c:x val="0.3583611111111111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dLbl>
          <c:idx val="0"/>
          <c:layout>
            <c:manualLayout>
              <c:x val="-8.3333333333333332E-3"/>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2.7777777777777779E-3"/>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1.1111111111111112E-2"/>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2.7777777777778286E-3"/>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1.1111001749781278E-2"/>
              <c:y val="2.0833333333333332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656933508311457"/>
                  <c:h val="5.4467774861475651E-2"/>
                </c:manualLayout>
              </c15:layout>
            </c:ext>
          </c:extLst>
        </c:dLbl>
      </c:pivotFmt>
      <c:pivotFmt>
        <c:idx val="7"/>
        <c:spPr>
          <a:solidFill>
            <a:schemeClr val="accent6"/>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8.333333333333230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8.3333333333333332E-3"/>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2.777777777777676E-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dLbl>
          <c:idx val="0"/>
          <c:layout>
            <c:manualLayout>
              <c:x val="-1.0185067526415994E-16"/>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8.3333333333333332E-3"/>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2.7777777777777779E-3"/>
              <c:y val="-0.2037037037037036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layout>
            <c:manualLayout>
              <c:x val="-1.1111111111111112E-2"/>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dLbl>
          <c:idx val="0"/>
          <c:layout>
            <c:manualLayout>
              <c:x val="-2.7777777777778286E-3"/>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1.1111001749781278E-2"/>
              <c:y val="2.0833333333333332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656933508311457"/>
                  <c:h val="5.4467774861475651E-2"/>
                </c:manualLayout>
              </c15:layout>
            </c:ext>
          </c:extLst>
        </c:dLbl>
      </c:pivotFmt>
      <c:pivotFmt>
        <c:idx val="19"/>
        <c:spPr>
          <a:solidFill>
            <a:schemeClr val="accent6"/>
          </a:solidFill>
          <a:ln>
            <a:noFill/>
          </a:ln>
          <a:effectLst/>
        </c:spPr>
        <c:dLbl>
          <c:idx val="0"/>
          <c:layout>
            <c:manualLayout>
              <c:x val="8.333333333333230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dLbl>
          <c:idx val="0"/>
          <c:layout>
            <c:manualLayout>
              <c:x val="8.3333333333333332E-3"/>
              <c:y val="-0.1666666666666667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dLbl>
          <c:idx val="0"/>
          <c:layout>
            <c:manualLayout>
              <c:x val="2.777777777777676E-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dLbl>
          <c:idx val="0"/>
          <c:layout>
            <c:manualLayout>
              <c:x val="-1.0185067526415994E-16"/>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pivotFmt>
      <c:pivotFmt>
        <c:idx val="24"/>
        <c:spPr>
          <a:solidFill>
            <a:schemeClr val="accent6"/>
          </a:solidFill>
          <a:ln>
            <a:noFill/>
          </a:ln>
          <a:effectLst/>
        </c:spPr>
      </c:pivotFmt>
      <c:pivotFmt>
        <c:idx val="25"/>
        <c:spPr>
          <a:solidFill>
            <a:schemeClr val="accent6"/>
          </a:solidFill>
          <a:ln>
            <a:noFill/>
          </a:ln>
          <a:effectLst/>
        </c:spPr>
      </c:pivotFmt>
      <c:pivotFmt>
        <c:idx val="26"/>
        <c:spPr>
          <a:solidFill>
            <a:schemeClr val="accent6"/>
          </a:solidFill>
          <a:ln>
            <a:noFill/>
          </a:ln>
          <a:effectLst/>
        </c:spPr>
      </c:pivotFmt>
      <c:pivotFmt>
        <c:idx val="27"/>
        <c:spPr>
          <a:solidFill>
            <a:schemeClr val="accent6"/>
          </a:solidFill>
          <a:ln>
            <a:noFill/>
          </a:ln>
          <a:effectLst/>
        </c:spPr>
      </c:pivotFmt>
      <c:pivotFmt>
        <c:idx val="28"/>
        <c:spPr>
          <a:solidFill>
            <a:schemeClr val="accent6"/>
          </a:solidFill>
          <a:ln>
            <a:noFill/>
          </a:ln>
          <a:effectLst/>
        </c:spPr>
      </c:pivotFmt>
      <c:pivotFmt>
        <c:idx val="29"/>
        <c:spPr>
          <a:solidFill>
            <a:schemeClr val="accent6"/>
          </a:solidFill>
          <a:ln>
            <a:noFill/>
          </a:ln>
          <a:effectLst/>
        </c:spPr>
      </c:pivotFmt>
      <c:pivotFmt>
        <c:idx val="30"/>
        <c:spPr>
          <a:solidFill>
            <a:schemeClr val="accent6"/>
          </a:solidFill>
          <a:ln>
            <a:noFill/>
          </a:ln>
          <a:effectLst/>
        </c:spPr>
      </c:pivotFmt>
      <c:pivotFmt>
        <c:idx val="31"/>
        <c:spPr>
          <a:solidFill>
            <a:schemeClr val="accent6"/>
          </a:solidFill>
          <a:ln>
            <a:noFill/>
          </a:ln>
          <a:effectLst/>
        </c:spPr>
      </c:pivotFmt>
      <c:pivotFmt>
        <c:idx val="32"/>
        <c:spPr>
          <a:solidFill>
            <a:schemeClr val="accent6"/>
          </a:solidFill>
          <a:ln>
            <a:noFill/>
          </a:ln>
          <a:effectLst/>
        </c:spPr>
      </c:pivotFmt>
      <c:pivotFmt>
        <c:idx val="33"/>
        <c:spPr>
          <a:solidFill>
            <a:schemeClr val="accent6"/>
          </a:solidFill>
          <a:ln>
            <a:noFill/>
          </a:ln>
          <a:effectLst/>
        </c:spPr>
      </c:pivotFmt>
    </c:pivotFmts>
    <c:plotArea>
      <c:layout>
        <c:manualLayout>
          <c:layoutTarget val="inner"/>
          <c:xMode val="edge"/>
          <c:yMode val="edge"/>
          <c:x val="0.19958092738407698"/>
          <c:y val="5.3700133956284521E-2"/>
          <c:w val="0.76986351706036749"/>
          <c:h val="0.740124808050446"/>
        </c:manualLayout>
      </c:layout>
      <c:barChart>
        <c:barDir val="col"/>
        <c:grouping val="stacked"/>
        <c:varyColors val="0"/>
        <c:ser>
          <c:idx val="0"/>
          <c:order val="0"/>
          <c:tx>
            <c:strRef>
              <c:f>Pivots!$H$20</c:f>
              <c:strCache>
                <c:ptCount val="1"/>
                <c:pt idx="0">
                  <c:v>Total</c:v>
                </c:pt>
              </c:strCache>
            </c:strRef>
          </c:tx>
          <c:spPr>
            <a:solidFill>
              <a:schemeClr val="accent6"/>
            </a:solidFill>
            <a:ln>
              <a:noFill/>
            </a:ln>
            <a:effectLst/>
          </c:spPr>
          <c:invertIfNegative val="0"/>
          <c:dLbls>
            <c:delete val="1"/>
          </c:dLbls>
          <c:cat>
            <c:strRef>
              <c:f>Pivots!$G$21:$G$31</c:f>
              <c:strCache>
                <c:ptCount val="10"/>
                <c:pt idx="0">
                  <c:v>Fan</c:v>
                </c:pt>
                <c:pt idx="1">
                  <c:v>Mouse</c:v>
                </c:pt>
                <c:pt idx="2">
                  <c:v>Lotion</c:v>
                </c:pt>
                <c:pt idx="3">
                  <c:v>Laptop</c:v>
                </c:pt>
                <c:pt idx="4">
                  <c:v>Face Wash</c:v>
                </c:pt>
                <c:pt idx="5">
                  <c:v>Oil</c:v>
                </c:pt>
                <c:pt idx="6">
                  <c:v>Shampoo</c:v>
                </c:pt>
                <c:pt idx="7">
                  <c:v>Cooker</c:v>
                </c:pt>
                <c:pt idx="8">
                  <c:v>Printer</c:v>
                </c:pt>
                <c:pt idx="9">
                  <c:v>Iron</c:v>
                </c:pt>
              </c:strCache>
            </c:strRef>
          </c:cat>
          <c:val>
            <c:numRef>
              <c:f>Pivots!$H$21:$H$31</c:f>
              <c:numCache>
                <c:formatCode>"₹"\ #,##0.0</c:formatCode>
                <c:ptCount val="10"/>
                <c:pt idx="0">
                  <c:v>14690250.839999996</c:v>
                </c:pt>
                <c:pt idx="1">
                  <c:v>14528052.369999995</c:v>
                </c:pt>
                <c:pt idx="2">
                  <c:v>12004369.690000003</c:v>
                </c:pt>
                <c:pt idx="3">
                  <c:v>11888422.079999998</c:v>
                </c:pt>
                <c:pt idx="4">
                  <c:v>11750588.380000001</c:v>
                </c:pt>
                <c:pt idx="5">
                  <c:v>11621556.529999999</c:v>
                </c:pt>
                <c:pt idx="6">
                  <c:v>11580371.250000002</c:v>
                </c:pt>
                <c:pt idx="7">
                  <c:v>11190405.07</c:v>
                </c:pt>
                <c:pt idx="8">
                  <c:v>11111706.050000004</c:v>
                </c:pt>
                <c:pt idx="9">
                  <c:v>10956406.609999999</c:v>
                </c:pt>
              </c:numCache>
            </c:numRef>
          </c:val>
          <c:extLst>
            <c:ext xmlns:c16="http://schemas.microsoft.com/office/drawing/2014/chart" uri="{C3380CC4-5D6E-409C-BE32-E72D297353CC}">
              <c16:uniqueId val="{0000000A-9456-4E68-9217-0E634B4248B2}"/>
            </c:ext>
          </c:extLst>
        </c:ser>
        <c:dLbls>
          <c:dLblPos val="ctr"/>
          <c:showLegendKey val="0"/>
          <c:showVal val="1"/>
          <c:showCatName val="0"/>
          <c:showSerName val="0"/>
          <c:showPercent val="0"/>
          <c:showBubbleSize val="0"/>
        </c:dLbls>
        <c:gapWidth val="55"/>
        <c:overlap val="100"/>
        <c:axId val="765492968"/>
        <c:axId val="765484440"/>
      </c:barChart>
      <c:catAx>
        <c:axId val="765492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765484440"/>
        <c:crosses val="autoZero"/>
        <c:auto val="1"/>
        <c:lblAlgn val="ctr"/>
        <c:lblOffset val="100"/>
        <c:noMultiLvlLbl val="0"/>
      </c:catAx>
      <c:valAx>
        <c:axId val="765484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5492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[supply_chain_Operations_Analysis.xlsx]Pivots!PivotTable10</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accent6">
                    <a:lumMod val="75000"/>
                  </a:schemeClr>
                </a:solidFill>
              </a:rPr>
              <a:t>SUPPLIER PERFORMANCE</a:t>
            </a:r>
          </a:p>
        </c:rich>
      </c:tx>
      <c:layout>
        <c:manualLayout>
          <c:xMode val="edge"/>
          <c:yMode val="edge"/>
          <c:x val="0.3850623359580053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Pivots!$E$21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Pivots!$D$22:$D$27</c:f>
              <c:strCache>
                <c:ptCount val="5"/>
                <c:pt idx="0">
                  <c:v>Alpha Supplies</c:v>
                </c:pt>
                <c:pt idx="1">
                  <c:v>Apex Wholesale</c:v>
                </c:pt>
                <c:pt idx="2">
                  <c:v>Global Traders</c:v>
                </c:pt>
                <c:pt idx="3">
                  <c:v>Prime Distributors</c:v>
                </c:pt>
                <c:pt idx="4">
                  <c:v>Vertex Supply</c:v>
                </c:pt>
              </c:strCache>
            </c:strRef>
          </c:cat>
          <c:val>
            <c:numRef>
              <c:f>Pivots!$E$22:$E$27</c:f>
              <c:numCache>
                <c:formatCode>General</c:formatCode>
                <c:ptCount val="5"/>
                <c:pt idx="0">
                  <c:v>213</c:v>
                </c:pt>
                <c:pt idx="1">
                  <c:v>230</c:v>
                </c:pt>
                <c:pt idx="2">
                  <c:v>203</c:v>
                </c:pt>
                <c:pt idx="3">
                  <c:v>222</c:v>
                </c:pt>
                <c:pt idx="4">
                  <c:v>215</c:v>
                </c:pt>
              </c:numCache>
            </c:numRef>
          </c:val>
          <c:extLst>
            <c:ext xmlns:c16="http://schemas.microsoft.com/office/drawing/2014/chart" uri="{C3380CC4-5D6E-409C-BE32-E72D297353CC}">
              <c16:uniqueId val="{00000000-B662-44FD-9C85-FF51FF1CD1F3}"/>
            </c:ext>
          </c:extLst>
        </c:ser>
        <c:dLbls>
          <c:showLegendKey val="0"/>
          <c:showVal val="0"/>
          <c:showCatName val="0"/>
          <c:showSerName val="0"/>
          <c:showPercent val="0"/>
          <c:showBubbleSize val="0"/>
        </c:dLbls>
        <c:gapWidth val="55"/>
        <c:overlap val="100"/>
        <c:axId val="768846024"/>
        <c:axId val="768846352"/>
      </c:barChart>
      <c:catAx>
        <c:axId val="768846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768846352"/>
        <c:crosses val="autoZero"/>
        <c:auto val="1"/>
        <c:lblAlgn val="ctr"/>
        <c:lblOffset val="100"/>
        <c:noMultiLvlLbl val="0"/>
      </c:catAx>
      <c:valAx>
        <c:axId val="76884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8846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[supply_chain_Operations_Analysis.xlsx]Pivots!PivotTable11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accent6">
                    <a:lumMod val="75000"/>
                  </a:schemeClr>
                </a:solidFill>
              </a:rPr>
              <a:t>TOTAL</a:t>
            </a:r>
            <a:r>
              <a:rPr lang="en-US" sz="900" b="1" baseline="0">
                <a:solidFill>
                  <a:schemeClr val="accent6">
                    <a:lumMod val="75000"/>
                  </a:schemeClr>
                </a:solidFill>
              </a:rPr>
              <a:t> SHIPPING COST BY TRANSPORT</a:t>
            </a:r>
            <a:endParaRPr lang="en-US" sz="900" b="1">
              <a:solidFill>
                <a:schemeClr val="accent6">
                  <a:lumMod val="75000"/>
                </a:schemeClr>
              </a:solidFill>
            </a:endParaRPr>
          </a:p>
        </c:rich>
      </c:tx>
      <c:layout>
        <c:manualLayout>
          <c:xMode val="edge"/>
          <c:yMode val="edge"/>
          <c:x val="0.3366526684164479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6"/>
          </a:solidFill>
          <a:ln>
            <a:noFill/>
          </a:ln>
          <a:effectLst/>
        </c:spPr>
        <c:marker>
          <c:symbol val="none"/>
        </c:marker>
      </c:pivotFmt>
    </c:pivotFmts>
    <c:plotArea>
      <c:layout>
        <c:manualLayout>
          <c:layoutTarget val="inner"/>
          <c:xMode val="edge"/>
          <c:yMode val="edge"/>
          <c:x val="0.36048806262455707"/>
          <c:y val="0.16708333333333336"/>
          <c:w val="0.59529684063015098"/>
          <c:h val="0.72551727909011365"/>
        </c:manualLayout>
      </c:layout>
      <c:barChart>
        <c:barDir val="bar"/>
        <c:grouping val="stacked"/>
        <c:varyColors val="0"/>
        <c:ser>
          <c:idx val="0"/>
          <c:order val="0"/>
          <c:tx>
            <c:strRef>
              <c:f>Pivots!$E$31</c:f>
              <c:strCache>
                <c:ptCount val="1"/>
                <c:pt idx="0">
                  <c:v>Total</c:v>
                </c:pt>
              </c:strCache>
            </c:strRef>
          </c:tx>
          <c:spPr>
            <a:solidFill>
              <a:schemeClr val="accent6"/>
            </a:solidFill>
            <a:ln>
              <a:noFill/>
            </a:ln>
            <a:effectLst/>
          </c:spPr>
          <c:invertIfNegative val="0"/>
          <c:cat>
            <c:strRef>
              <c:f>Pivots!$D$32:$D$35</c:f>
              <c:strCache>
                <c:ptCount val="3"/>
                <c:pt idx="0">
                  <c:v>Air</c:v>
                </c:pt>
                <c:pt idx="1">
                  <c:v>Rail</c:v>
                </c:pt>
                <c:pt idx="2">
                  <c:v>Road</c:v>
                </c:pt>
              </c:strCache>
            </c:strRef>
          </c:cat>
          <c:val>
            <c:numRef>
              <c:f>Pivots!$E$32:$E$35</c:f>
              <c:numCache>
                <c:formatCode>"₹"\ #,##0.0</c:formatCode>
                <c:ptCount val="3"/>
                <c:pt idx="0">
                  <c:v>1510336</c:v>
                </c:pt>
                <c:pt idx="1">
                  <c:v>1560479</c:v>
                </c:pt>
                <c:pt idx="2">
                  <c:v>1416836</c:v>
                </c:pt>
              </c:numCache>
            </c:numRef>
          </c:val>
          <c:extLst>
            <c:ext xmlns:c16="http://schemas.microsoft.com/office/drawing/2014/chart" uri="{C3380CC4-5D6E-409C-BE32-E72D297353CC}">
              <c16:uniqueId val="{00000000-5F4F-4DE0-A77A-D4B41AB93755}"/>
            </c:ext>
          </c:extLst>
        </c:ser>
        <c:dLbls>
          <c:showLegendKey val="0"/>
          <c:showVal val="0"/>
          <c:showCatName val="0"/>
          <c:showSerName val="0"/>
          <c:showPercent val="0"/>
          <c:showBubbleSize val="0"/>
        </c:dLbls>
        <c:gapWidth val="55"/>
        <c:overlap val="100"/>
        <c:axId val="713347296"/>
        <c:axId val="713350904"/>
      </c:barChart>
      <c:catAx>
        <c:axId val="71334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3350904"/>
        <c:crosses val="autoZero"/>
        <c:auto val="1"/>
        <c:lblAlgn val="ctr"/>
        <c:lblOffset val="100"/>
        <c:noMultiLvlLbl val="0"/>
      </c:catAx>
      <c:valAx>
        <c:axId val="7133509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crossAx val="713347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accent6">
                    <a:lumMod val="75000"/>
                  </a:schemeClr>
                </a:solidFill>
              </a:rPr>
              <a:t>AVG DEVIVERY DAY BY SUPPLIER</a:t>
            </a:r>
          </a:p>
        </c:rich>
      </c:tx>
      <c:layout>
        <c:manualLayout>
          <c:xMode val="edge"/>
          <c:yMode val="edge"/>
          <c:x val="0.29763948497854076"/>
          <c:y val="1.2674271229404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73843389336812E-2"/>
          <c:y val="9.8778442168413153E-2"/>
          <c:w val="0.87566808639937976"/>
          <c:h val="0.65709352120458631"/>
        </c:manualLayout>
      </c:layout>
      <c:barChart>
        <c:barDir val="col"/>
        <c:grouping val="stacked"/>
        <c:varyColors val="0"/>
        <c:ser>
          <c:idx val="0"/>
          <c:order val="0"/>
          <c:tx>
            <c:strRef>
              <c:f>Pivots!$H$35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Pivots!$G$36:$G$41</c:f>
              <c:strCache>
                <c:ptCount val="5"/>
                <c:pt idx="0">
                  <c:v>Vertex Supply</c:v>
                </c:pt>
                <c:pt idx="1">
                  <c:v>Alpha Supplies</c:v>
                </c:pt>
                <c:pt idx="2">
                  <c:v>Apex Wholesale</c:v>
                </c:pt>
                <c:pt idx="3">
                  <c:v>Prime Distributors</c:v>
                </c:pt>
                <c:pt idx="4">
                  <c:v>Global Traders</c:v>
                </c:pt>
              </c:strCache>
            </c:strRef>
          </c:cat>
          <c:val>
            <c:numRef>
              <c:f>Pivots!$H$36:$H$41</c:f>
              <c:numCache>
                <c:formatCode>0.0</c:formatCode>
                <c:ptCount val="5"/>
                <c:pt idx="0">
                  <c:v>5.4186046511627906</c:v>
                </c:pt>
                <c:pt idx="1">
                  <c:v>5.455399061032864</c:v>
                </c:pt>
                <c:pt idx="2">
                  <c:v>5.4739130434782606</c:v>
                </c:pt>
                <c:pt idx="3">
                  <c:v>5.7027027027027026</c:v>
                </c:pt>
                <c:pt idx="4">
                  <c:v>6.083743842364532</c:v>
                </c:pt>
              </c:numCache>
            </c:numRef>
          </c:val>
          <c:extLst>
            <c:ext xmlns:c16="http://schemas.microsoft.com/office/drawing/2014/chart" uri="{C3380CC4-5D6E-409C-BE32-E72D297353CC}">
              <c16:uniqueId val="{00000000-B47A-40F6-ADCE-E6D5C55A52F5}"/>
            </c:ext>
          </c:extLst>
        </c:ser>
        <c:dLbls>
          <c:dLblPos val="inEnd"/>
          <c:showLegendKey val="0"/>
          <c:showVal val="1"/>
          <c:showCatName val="0"/>
          <c:showSerName val="0"/>
          <c:showPercent val="0"/>
          <c:showBubbleSize val="0"/>
        </c:dLbls>
        <c:gapWidth val="55"/>
        <c:overlap val="100"/>
        <c:axId val="852908240"/>
        <c:axId val="852915128"/>
      </c:barChart>
      <c:catAx>
        <c:axId val="85290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2915128"/>
        <c:crosses val="autoZero"/>
        <c:auto val="1"/>
        <c:lblAlgn val="ctr"/>
        <c:lblOffset val="100"/>
        <c:noMultiLvlLbl val="0"/>
      </c:catAx>
      <c:valAx>
        <c:axId val="8529151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2908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b="1">
                <a:solidFill>
                  <a:schemeClr val="accent6">
                    <a:lumMod val="75000"/>
                  </a:schemeClr>
                </a:solidFill>
              </a:rPr>
              <a:t>ORDER</a:t>
            </a:r>
            <a:r>
              <a:rPr lang="en-IN" sz="800" b="1" baseline="0">
                <a:solidFill>
                  <a:schemeClr val="accent6">
                    <a:lumMod val="75000"/>
                  </a:schemeClr>
                </a:solidFill>
              </a:rPr>
              <a:t> SHARE BY PRODUCT CATEGORY</a:t>
            </a:r>
            <a:endParaRPr lang="en-IN" sz="800" b="1">
              <a:solidFill>
                <a:schemeClr val="accent6">
                  <a:lumMod val="7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hade val="58000"/>
            </a:schemeClr>
          </a:solidFill>
          <a:ln w="19050">
            <a:solidFill>
              <a:schemeClr val="lt1"/>
            </a:solidFill>
          </a:ln>
          <a:effectLst/>
        </c:spPr>
      </c:pivotFmt>
      <c:pivotFmt>
        <c:idx val="4"/>
        <c:spPr>
          <a:solidFill>
            <a:schemeClr val="accent6">
              <a:shade val="86000"/>
            </a:schemeClr>
          </a:solidFill>
          <a:ln w="19050">
            <a:solidFill>
              <a:schemeClr val="lt1"/>
            </a:solidFill>
          </a:ln>
          <a:effectLst/>
        </c:spPr>
      </c:pivotFmt>
      <c:pivotFmt>
        <c:idx val="5"/>
        <c:spPr>
          <a:solidFill>
            <a:schemeClr val="accent6">
              <a:tint val="86000"/>
            </a:schemeClr>
          </a:solidFill>
          <a:ln w="19050">
            <a:solidFill>
              <a:schemeClr val="lt1"/>
            </a:solidFill>
          </a:ln>
          <a:effectLst/>
        </c:spPr>
      </c:pivotFmt>
      <c:pivotFmt>
        <c:idx val="6"/>
        <c:spPr>
          <a:solidFill>
            <a:schemeClr val="accent6">
              <a:tint val="58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6">
              <a:shade val="58000"/>
            </a:schemeClr>
          </a:solidFill>
          <a:ln w="19050">
            <a:solidFill>
              <a:schemeClr val="lt1"/>
            </a:solidFill>
          </a:ln>
          <a:effectLst/>
        </c:spPr>
      </c:pivotFmt>
      <c:pivotFmt>
        <c:idx val="9"/>
        <c:spPr>
          <a:solidFill>
            <a:schemeClr val="accent6">
              <a:shade val="86000"/>
            </a:schemeClr>
          </a:solidFill>
          <a:ln w="19050">
            <a:solidFill>
              <a:schemeClr val="lt1"/>
            </a:solidFill>
          </a:ln>
          <a:effectLst/>
        </c:spPr>
      </c:pivotFmt>
      <c:pivotFmt>
        <c:idx val="10"/>
        <c:spPr>
          <a:solidFill>
            <a:schemeClr val="accent6">
              <a:tint val="86000"/>
            </a:schemeClr>
          </a:solidFill>
          <a:ln w="19050">
            <a:solidFill>
              <a:schemeClr val="lt1"/>
            </a:solidFill>
          </a:ln>
          <a:effectLst/>
        </c:spPr>
      </c:pivotFmt>
      <c:pivotFmt>
        <c:idx val="11"/>
        <c:spPr>
          <a:solidFill>
            <a:schemeClr val="accent6">
              <a:tint val="58000"/>
            </a:schemeClr>
          </a:solidFill>
          <a:ln w="19050">
            <a:solidFill>
              <a:schemeClr val="lt1"/>
            </a:solidFill>
          </a:ln>
          <a:effectLst/>
        </c:spPr>
      </c:pivotFmt>
    </c:pivotFmts>
    <c:plotArea>
      <c:layout>
        <c:manualLayout>
          <c:layoutTarget val="inner"/>
          <c:xMode val="edge"/>
          <c:yMode val="edge"/>
          <c:x val="3.9906103286384977E-2"/>
          <c:y val="0.16972445934752456"/>
          <c:w val="0.53051643192488263"/>
          <c:h val="0.71609632446134353"/>
        </c:manualLayout>
      </c:layout>
      <c:doughnutChart>
        <c:varyColors val="1"/>
        <c:ser>
          <c:idx val="0"/>
          <c:order val="0"/>
          <c:tx>
            <c:v>Total</c:v>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97F0-4B4C-8AC1-9D99FB1F239B}"/>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97F0-4B4C-8AC1-9D99FB1F239B}"/>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97F0-4B4C-8AC1-9D99FB1F239B}"/>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97F0-4B4C-8AC1-9D99FB1F23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Electronics</c:v>
              </c:pt>
              <c:pt idx="1">
                <c:v>Grocery</c:v>
              </c:pt>
              <c:pt idx="2">
                <c:v>Home</c:v>
              </c:pt>
              <c:pt idx="3">
                <c:v>Personal Care</c:v>
              </c:pt>
            </c:strLit>
          </c:cat>
          <c:val>
            <c:numLit>
              <c:formatCode>General</c:formatCode>
              <c:ptCount val="4"/>
              <c:pt idx="0">
                <c:v>283</c:v>
              </c:pt>
              <c:pt idx="1">
                <c:v>248</c:v>
              </c:pt>
              <c:pt idx="2">
                <c:v>271</c:v>
              </c:pt>
              <c:pt idx="3">
                <c:v>281</c:v>
              </c:pt>
            </c:numLit>
          </c:val>
          <c:extLst>
            <c:ext xmlns:c16="http://schemas.microsoft.com/office/drawing/2014/chart" uri="{C3380CC4-5D6E-409C-BE32-E72D297353CC}">
              <c16:uniqueId val="{00000008-97F0-4B4C-8AC1-9D99FB1F239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[supply_chain_Operations_Analysis.xlsx]Pivots!PivotTable8</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b="1">
                <a:solidFill>
                  <a:schemeClr val="accent6">
                    <a:lumMod val="75000"/>
                  </a:schemeClr>
                </a:solidFill>
              </a:rPr>
              <a:t> INVENTORY LEVEL VS RECORDER LEVEL</a:t>
            </a:r>
          </a:p>
        </c:rich>
      </c:tx>
      <c:layout>
        <c:manualLayout>
          <c:xMode val="edge"/>
          <c:yMode val="edge"/>
          <c:x val="0.3291729702471003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s>
    <c:plotArea>
      <c:layout>
        <c:manualLayout>
          <c:layoutTarget val="inner"/>
          <c:xMode val="edge"/>
          <c:yMode val="edge"/>
          <c:x val="0.10065338844747281"/>
          <c:y val="5.1267427122940433E-2"/>
          <c:w val="0.87161085764430735"/>
          <c:h val="0.70471692464297475"/>
        </c:manualLayout>
      </c:layout>
      <c:barChart>
        <c:barDir val="col"/>
        <c:grouping val="clustered"/>
        <c:varyColors val="0"/>
        <c:ser>
          <c:idx val="0"/>
          <c:order val="0"/>
          <c:tx>
            <c:strRef>
              <c:f>Pivots!$K$12</c:f>
              <c:strCache>
                <c:ptCount val="1"/>
                <c:pt idx="0">
                  <c:v>Average of Inventory_Level</c:v>
                </c:pt>
              </c:strCache>
            </c:strRef>
          </c:tx>
          <c:spPr>
            <a:solidFill>
              <a:schemeClr val="accent6">
                <a:shade val="76000"/>
              </a:schemeClr>
            </a:solidFill>
            <a:ln>
              <a:noFill/>
            </a:ln>
            <a:effectLst/>
          </c:spPr>
          <c:invertIfNegative val="0"/>
          <c:cat>
            <c:strRef>
              <c:f>Pivots!$J$13:$J$33</c:f>
              <c:strCache>
                <c:ptCount val="20"/>
                <c:pt idx="0">
                  <c:v>Lotion</c:v>
                </c:pt>
                <c:pt idx="1">
                  <c:v>Mixer</c:v>
                </c:pt>
                <c:pt idx="2">
                  <c:v>Soap</c:v>
                </c:pt>
                <c:pt idx="3">
                  <c:v>Mouse</c:v>
                </c:pt>
                <c:pt idx="4">
                  <c:v>Flour</c:v>
                </c:pt>
                <c:pt idx="5">
                  <c:v>Microwave</c:v>
                </c:pt>
                <c:pt idx="6">
                  <c:v>Tea</c:v>
                </c:pt>
                <c:pt idx="7">
                  <c:v>Cooker</c:v>
                </c:pt>
                <c:pt idx="8">
                  <c:v>Oil</c:v>
                </c:pt>
                <c:pt idx="9">
                  <c:v>Face Wash</c:v>
                </c:pt>
                <c:pt idx="10">
                  <c:v>Rice</c:v>
                </c:pt>
                <c:pt idx="11">
                  <c:v>Monitor</c:v>
                </c:pt>
                <c:pt idx="12">
                  <c:v>Toothpaste</c:v>
                </c:pt>
                <c:pt idx="13">
                  <c:v>Laptop</c:v>
                </c:pt>
                <c:pt idx="14">
                  <c:v>Printer</c:v>
                </c:pt>
                <c:pt idx="15">
                  <c:v>Shampoo</c:v>
                </c:pt>
                <c:pt idx="16">
                  <c:v>Fan</c:v>
                </c:pt>
                <c:pt idx="17">
                  <c:v>Iron</c:v>
                </c:pt>
                <c:pt idx="18">
                  <c:v>Keyboard</c:v>
                </c:pt>
                <c:pt idx="19">
                  <c:v>Sugar</c:v>
                </c:pt>
              </c:strCache>
            </c:strRef>
          </c:cat>
          <c:val>
            <c:numRef>
              <c:f>Pivots!$K$13:$K$33</c:f>
              <c:numCache>
                <c:formatCode>0.0</c:formatCode>
                <c:ptCount val="20"/>
                <c:pt idx="0">
                  <c:v>1192.7627118644068</c:v>
                </c:pt>
                <c:pt idx="1">
                  <c:v>1118.0227272727273</c:v>
                </c:pt>
                <c:pt idx="2">
                  <c:v>1112.1851851851852</c:v>
                </c:pt>
                <c:pt idx="3">
                  <c:v>1105.8148148148148</c:v>
                </c:pt>
                <c:pt idx="4">
                  <c:v>1083.5999999999999</c:v>
                </c:pt>
                <c:pt idx="5">
                  <c:v>1082.9038461538462</c:v>
                </c:pt>
                <c:pt idx="6">
                  <c:v>1069.22</c:v>
                </c:pt>
                <c:pt idx="7">
                  <c:v>1061.1346153846155</c:v>
                </c:pt>
                <c:pt idx="8">
                  <c:v>1031.3636363636363</c:v>
                </c:pt>
                <c:pt idx="9">
                  <c:v>1029.0344827586207</c:v>
                </c:pt>
                <c:pt idx="10">
                  <c:v>1021.5555555555555</c:v>
                </c:pt>
                <c:pt idx="11">
                  <c:v>1015.4920634920635</c:v>
                </c:pt>
                <c:pt idx="12">
                  <c:v>1014.0192307692307</c:v>
                </c:pt>
                <c:pt idx="13">
                  <c:v>1010.4385964912281</c:v>
                </c:pt>
                <c:pt idx="14">
                  <c:v>1008.4590163934427</c:v>
                </c:pt>
                <c:pt idx="15">
                  <c:v>1004.9137931034483</c:v>
                </c:pt>
                <c:pt idx="16">
                  <c:v>993.4</c:v>
                </c:pt>
                <c:pt idx="17">
                  <c:v>944.09433962264154</c:v>
                </c:pt>
                <c:pt idx="18">
                  <c:v>925.125</c:v>
                </c:pt>
                <c:pt idx="19">
                  <c:v>915.84905660377353</c:v>
                </c:pt>
              </c:numCache>
            </c:numRef>
          </c:val>
          <c:extLst>
            <c:ext xmlns:c16="http://schemas.microsoft.com/office/drawing/2014/chart" uri="{C3380CC4-5D6E-409C-BE32-E72D297353CC}">
              <c16:uniqueId val="{00000000-7D15-451B-A144-FB840C19CC8C}"/>
            </c:ext>
          </c:extLst>
        </c:ser>
        <c:ser>
          <c:idx val="1"/>
          <c:order val="1"/>
          <c:tx>
            <c:strRef>
              <c:f>Pivots!$L$12</c:f>
              <c:strCache>
                <c:ptCount val="1"/>
                <c:pt idx="0">
                  <c:v>Average of Reorder_Level</c:v>
                </c:pt>
              </c:strCache>
            </c:strRef>
          </c:tx>
          <c:spPr>
            <a:solidFill>
              <a:schemeClr val="accent6">
                <a:tint val="77000"/>
              </a:schemeClr>
            </a:solidFill>
            <a:ln>
              <a:noFill/>
            </a:ln>
            <a:effectLst/>
          </c:spPr>
          <c:invertIfNegative val="0"/>
          <c:cat>
            <c:strRef>
              <c:f>Pivots!$J$13:$J$33</c:f>
              <c:strCache>
                <c:ptCount val="20"/>
                <c:pt idx="0">
                  <c:v>Lotion</c:v>
                </c:pt>
                <c:pt idx="1">
                  <c:v>Mixer</c:v>
                </c:pt>
                <c:pt idx="2">
                  <c:v>Soap</c:v>
                </c:pt>
                <c:pt idx="3">
                  <c:v>Mouse</c:v>
                </c:pt>
                <c:pt idx="4">
                  <c:v>Flour</c:v>
                </c:pt>
                <c:pt idx="5">
                  <c:v>Microwave</c:v>
                </c:pt>
                <c:pt idx="6">
                  <c:v>Tea</c:v>
                </c:pt>
                <c:pt idx="7">
                  <c:v>Cooker</c:v>
                </c:pt>
                <c:pt idx="8">
                  <c:v>Oil</c:v>
                </c:pt>
                <c:pt idx="9">
                  <c:v>Face Wash</c:v>
                </c:pt>
                <c:pt idx="10">
                  <c:v>Rice</c:v>
                </c:pt>
                <c:pt idx="11">
                  <c:v>Monitor</c:v>
                </c:pt>
                <c:pt idx="12">
                  <c:v>Toothpaste</c:v>
                </c:pt>
                <c:pt idx="13">
                  <c:v>Laptop</c:v>
                </c:pt>
                <c:pt idx="14">
                  <c:v>Printer</c:v>
                </c:pt>
                <c:pt idx="15">
                  <c:v>Shampoo</c:v>
                </c:pt>
                <c:pt idx="16">
                  <c:v>Fan</c:v>
                </c:pt>
                <c:pt idx="17">
                  <c:v>Iron</c:v>
                </c:pt>
                <c:pt idx="18">
                  <c:v>Keyboard</c:v>
                </c:pt>
                <c:pt idx="19">
                  <c:v>Sugar</c:v>
                </c:pt>
              </c:strCache>
            </c:strRef>
          </c:cat>
          <c:val>
            <c:numRef>
              <c:f>Pivots!$L$13:$L$33</c:f>
              <c:numCache>
                <c:formatCode>0.0</c:formatCode>
                <c:ptCount val="20"/>
                <c:pt idx="0">
                  <c:v>172.42372881355934</c:v>
                </c:pt>
                <c:pt idx="1">
                  <c:v>194.36363636363637</c:v>
                </c:pt>
                <c:pt idx="2">
                  <c:v>187.40740740740742</c:v>
                </c:pt>
                <c:pt idx="3">
                  <c:v>193.22222222222223</c:v>
                </c:pt>
                <c:pt idx="4">
                  <c:v>176.53333333333333</c:v>
                </c:pt>
                <c:pt idx="5">
                  <c:v>190.5</c:v>
                </c:pt>
                <c:pt idx="6">
                  <c:v>202.48</c:v>
                </c:pt>
                <c:pt idx="7">
                  <c:v>185</c:v>
                </c:pt>
                <c:pt idx="8">
                  <c:v>176.96363636363637</c:v>
                </c:pt>
                <c:pt idx="9">
                  <c:v>195.37931034482759</c:v>
                </c:pt>
                <c:pt idx="10">
                  <c:v>189.53333333333333</c:v>
                </c:pt>
                <c:pt idx="11">
                  <c:v>196.76190476190476</c:v>
                </c:pt>
                <c:pt idx="12">
                  <c:v>193.32692307692307</c:v>
                </c:pt>
                <c:pt idx="13">
                  <c:v>195.2280701754386</c:v>
                </c:pt>
                <c:pt idx="14">
                  <c:v>188.11475409836066</c:v>
                </c:pt>
                <c:pt idx="15">
                  <c:v>196.9655172413793</c:v>
                </c:pt>
                <c:pt idx="16">
                  <c:v>198.65714285714284</c:v>
                </c:pt>
                <c:pt idx="17">
                  <c:v>182.28301886792454</c:v>
                </c:pt>
                <c:pt idx="18">
                  <c:v>193.45833333333334</c:v>
                </c:pt>
                <c:pt idx="19">
                  <c:v>178.16981132075472</c:v>
                </c:pt>
              </c:numCache>
            </c:numRef>
          </c:val>
          <c:extLst>
            <c:ext xmlns:c16="http://schemas.microsoft.com/office/drawing/2014/chart" uri="{C3380CC4-5D6E-409C-BE32-E72D297353CC}">
              <c16:uniqueId val="{00000001-7D15-451B-A144-FB840C19CC8C}"/>
            </c:ext>
          </c:extLst>
        </c:ser>
        <c:dLbls>
          <c:showLegendKey val="0"/>
          <c:showVal val="0"/>
          <c:showCatName val="0"/>
          <c:showSerName val="0"/>
          <c:showPercent val="0"/>
          <c:showBubbleSize val="0"/>
        </c:dLbls>
        <c:gapWidth val="75"/>
        <c:overlap val="-25"/>
        <c:axId val="852935136"/>
        <c:axId val="852930544"/>
      </c:barChart>
      <c:catAx>
        <c:axId val="8529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852930544"/>
        <c:crosses val="autoZero"/>
        <c:auto val="1"/>
        <c:lblAlgn val="ctr"/>
        <c:lblOffset val="100"/>
        <c:noMultiLvlLbl val="0"/>
      </c:catAx>
      <c:valAx>
        <c:axId val="8529305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2935136"/>
        <c:crosses val="autoZero"/>
        <c:crossBetween val="between"/>
      </c:valAx>
      <c:spPr>
        <a:noFill/>
        <a:ln>
          <a:noFill/>
        </a:ln>
        <a:effectLst/>
      </c:spPr>
    </c:plotArea>
    <c:legend>
      <c:legendPos val="b"/>
      <c:layout>
        <c:manualLayout>
          <c:xMode val="edge"/>
          <c:yMode val="edge"/>
          <c:x val="0.27936336815689267"/>
          <c:y val="0.84435495943235228"/>
          <c:w val="0.41968579467134953"/>
          <c:h val="0.1443679330958155"/>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342900</xdr:colOff>
      <xdr:row>29</xdr:row>
      <xdr:rowOff>137160</xdr:rowOff>
    </xdr:to>
    <xdr:sp macro="" textlink="">
      <xdr:nvSpPr>
        <xdr:cNvPr id="2" name="Rectangle 1"/>
        <xdr:cNvSpPr/>
      </xdr:nvSpPr>
      <xdr:spPr>
        <a:xfrm>
          <a:off x="0" y="0"/>
          <a:ext cx="14363700" cy="5440680"/>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solidFill>
              <a:srgbClr val="FF0000"/>
            </a:solidFill>
          </a:endParaRPr>
        </a:p>
      </xdr:txBody>
    </xdr:sp>
    <xdr:clientData/>
  </xdr:twoCellAnchor>
  <xdr:twoCellAnchor>
    <xdr:from>
      <xdr:col>0</xdr:col>
      <xdr:colOff>0</xdr:colOff>
      <xdr:row>0</xdr:row>
      <xdr:rowOff>0</xdr:rowOff>
    </xdr:from>
    <xdr:to>
      <xdr:col>17</xdr:col>
      <xdr:colOff>342900</xdr:colOff>
      <xdr:row>3</xdr:row>
      <xdr:rowOff>0</xdr:rowOff>
    </xdr:to>
    <xdr:sp macro="" textlink="">
      <xdr:nvSpPr>
        <xdr:cNvPr id="3" name="Snip and Round Single Corner Rectangle 2"/>
        <xdr:cNvSpPr/>
      </xdr:nvSpPr>
      <xdr:spPr>
        <a:xfrm flipV="1">
          <a:off x="0" y="0"/>
          <a:ext cx="10706100" cy="548640"/>
        </a:xfrm>
        <a:prstGeom prst="snipRoundRect">
          <a:avLst/>
        </a:prstGeom>
        <a:solidFill>
          <a:schemeClr val="accent6">
            <a:lumMod val="20000"/>
            <a:lumOff val="80000"/>
          </a:schemeClr>
        </a:solidFill>
        <a:ln w="31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327660</xdr:colOff>
      <xdr:row>0</xdr:row>
      <xdr:rowOff>0</xdr:rowOff>
    </xdr:from>
    <xdr:to>
      <xdr:col>23</xdr:col>
      <xdr:colOff>327660</xdr:colOff>
      <xdr:row>2</xdr:row>
      <xdr:rowOff>175260</xdr:rowOff>
    </xdr:to>
    <xdr:sp macro="" textlink="">
      <xdr:nvSpPr>
        <xdr:cNvPr id="4" name="Snip and Round Single Corner Rectangle 3"/>
        <xdr:cNvSpPr/>
      </xdr:nvSpPr>
      <xdr:spPr>
        <a:xfrm flipV="1">
          <a:off x="10690860" y="0"/>
          <a:ext cx="3657600" cy="541020"/>
        </a:xfrm>
        <a:prstGeom prst="snipRoundRect">
          <a:avLst/>
        </a:prstGeom>
        <a:solidFill>
          <a:schemeClr val="accent6">
            <a:lumMod val="75000"/>
          </a:schemeClr>
        </a:solidFill>
        <a:ln w="31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91440</xdr:colOff>
      <xdr:row>0</xdr:row>
      <xdr:rowOff>7621</xdr:rowOff>
    </xdr:from>
    <xdr:to>
      <xdr:col>1</xdr:col>
      <xdr:colOff>91440</xdr:colOff>
      <xdr:row>3</xdr:row>
      <xdr:rowOff>38815</xdr:rowOff>
    </xdr:to>
    <xdr:pic>
      <xdr:nvPicPr>
        <xdr:cNvPr id="7"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7621"/>
          <a:ext cx="609600" cy="579834"/>
        </a:xfrm>
        <a:prstGeom prst="rect">
          <a:avLst/>
        </a:prstGeom>
      </xdr:spPr>
    </xdr:pic>
    <xdr:clientData/>
  </xdr:twoCellAnchor>
  <xdr:twoCellAnchor>
    <xdr:from>
      <xdr:col>0</xdr:col>
      <xdr:colOff>594360</xdr:colOff>
      <xdr:row>0</xdr:row>
      <xdr:rowOff>114300</xdr:rowOff>
    </xdr:from>
    <xdr:to>
      <xdr:col>3</xdr:col>
      <xdr:colOff>472440</xdr:colOff>
      <xdr:row>3</xdr:row>
      <xdr:rowOff>114300</xdr:rowOff>
    </xdr:to>
    <xdr:sp macro="" textlink="">
      <xdr:nvSpPr>
        <xdr:cNvPr id="8" name="TextBox 7"/>
        <xdr:cNvSpPr txBox="1"/>
      </xdr:nvSpPr>
      <xdr:spPr>
        <a:xfrm>
          <a:off x="594360" y="114300"/>
          <a:ext cx="170688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25000"/>
                </a:schemeClr>
              </a:solidFill>
            </a:rPr>
            <a:t>APEX LOGISTICS</a:t>
          </a:r>
        </a:p>
        <a:p>
          <a:r>
            <a:rPr lang="en-IN" sz="1100" b="0"/>
            <a:t>Delivering Excellence</a:t>
          </a:r>
        </a:p>
      </xdr:txBody>
    </xdr:sp>
    <xdr:clientData/>
  </xdr:twoCellAnchor>
  <xdr:twoCellAnchor>
    <xdr:from>
      <xdr:col>4</xdr:col>
      <xdr:colOff>457200</xdr:colOff>
      <xdr:row>0</xdr:row>
      <xdr:rowOff>68580</xdr:rowOff>
    </xdr:from>
    <xdr:to>
      <xdr:col>15</xdr:col>
      <xdr:colOff>220980</xdr:colOff>
      <xdr:row>3</xdr:row>
      <xdr:rowOff>129540</xdr:rowOff>
    </xdr:to>
    <xdr:sp macro="" textlink="">
      <xdr:nvSpPr>
        <xdr:cNvPr id="9" name="TextBox 8"/>
        <xdr:cNvSpPr txBox="1"/>
      </xdr:nvSpPr>
      <xdr:spPr>
        <a:xfrm>
          <a:off x="2895600" y="68580"/>
          <a:ext cx="646938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accent6">
                  <a:lumMod val="50000"/>
                </a:schemeClr>
              </a:solidFill>
              <a:latin typeface="Calibri" panose="020F0502020204030204" pitchFamily="34" charset="0"/>
              <a:ea typeface="Calibri" panose="020F0502020204030204" pitchFamily="34" charset="0"/>
              <a:cs typeface="Calibri" panose="020F0502020204030204" pitchFamily="34" charset="0"/>
            </a:rPr>
            <a:t>                                    SUPPLY</a:t>
          </a:r>
          <a:r>
            <a:rPr lang="en-IN" sz="1600" b="1" i="0" baseline="0">
              <a:solidFill>
                <a:schemeClr val="accent6">
                  <a:lumMod val="50000"/>
                </a:schemeClr>
              </a:solidFill>
              <a:latin typeface="Calibri" panose="020F0502020204030204" pitchFamily="34" charset="0"/>
              <a:ea typeface="Calibri" panose="020F0502020204030204" pitchFamily="34" charset="0"/>
              <a:cs typeface="Calibri" panose="020F0502020204030204" pitchFamily="34" charset="0"/>
            </a:rPr>
            <a:t> CHAIN OPERATIONS DASHBOARD</a:t>
          </a:r>
        </a:p>
        <a:p>
          <a:r>
            <a:rPr lang="en-IN" sz="1100" baseline="0"/>
            <a:t>			</a:t>
          </a:r>
          <a:r>
            <a:rPr lang="en-IN" sz="1100" i="1" baseline="0">
              <a:solidFill>
                <a:schemeClr val="accent6">
                  <a:lumMod val="50000"/>
                </a:schemeClr>
              </a:solidFill>
            </a:rPr>
            <a:t>Executive Analysis</a:t>
          </a:r>
          <a:endParaRPr lang="en-IN" sz="1100" i="1">
            <a:solidFill>
              <a:schemeClr val="accent6">
                <a:lumMod val="50000"/>
              </a:schemeClr>
            </a:solidFill>
          </a:endParaRPr>
        </a:p>
      </xdr:txBody>
    </xdr:sp>
    <xdr:clientData/>
  </xdr:twoCellAnchor>
  <xdr:twoCellAnchor>
    <xdr:from>
      <xdr:col>19</xdr:col>
      <xdr:colOff>53340</xdr:colOff>
      <xdr:row>0</xdr:row>
      <xdr:rowOff>15240</xdr:rowOff>
    </xdr:from>
    <xdr:to>
      <xdr:col>22</xdr:col>
      <xdr:colOff>114300</xdr:colOff>
      <xdr:row>5</xdr:row>
      <xdr:rowOff>91440</xdr:rowOff>
    </xdr:to>
    <xdr:sp macro="" textlink="">
      <xdr:nvSpPr>
        <xdr:cNvPr id="10" name="TextBox 9"/>
        <xdr:cNvSpPr txBox="1"/>
      </xdr:nvSpPr>
      <xdr:spPr>
        <a:xfrm>
          <a:off x="11635740" y="15240"/>
          <a:ext cx="1889760" cy="99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600" b="0">
              <a:solidFill>
                <a:schemeClr val="bg1"/>
              </a:solidFill>
            </a:rPr>
            <a:t>PAGE 1 OF 2 </a:t>
          </a:r>
          <a:r>
            <a:rPr lang="en-IN" sz="1100" b="1">
              <a:solidFill>
                <a:schemeClr val="bg1">
                  <a:lumMod val="85000"/>
                </a:schemeClr>
              </a:solidFill>
            </a:rPr>
            <a:t>Executive</a:t>
          </a:r>
          <a:r>
            <a:rPr lang="en-IN" sz="1100" b="1" baseline="0">
              <a:solidFill>
                <a:schemeClr val="bg1">
                  <a:lumMod val="85000"/>
                </a:schemeClr>
              </a:solidFill>
            </a:rPr>
            <a:t> Analysis</a:t>
          </a:r>
          <a:endParaRPr lang="en-IN" sz="1100" b="1">
            <a:solidFill>
              <a:schemeClr val="bg1">
                <a:lumMod val="85000"/>
              </a:schemeClr>
            </a:solidFill>
          </a:endParaRPr>
        </a:p>
      </xdr:txBody>
    </xdr:sp>
    <xdr:clientData/>
  </xdr:twoCellAnchor>
  <xdr:twoCellAnchor>
    <xdr:from>
      <xdr:col>5</xdr:col>
      <xdr:colOff>434340</xdr:colOff>
      <xdr:row>3</xdr:row>
      <xdr:rowOff>60960</xdr:rowOff>
    </xdr:from>
    <xdr:to>
      <xdr:col>8</xdr:col>
      <xdr:colOff>281940</xdr:colOff>
      <xdr:row>6</xdr:row>
      <xdr:rowOff>144780</xdr:rowOff>
    </xdr:to>
    <xdr:sp macro="" textlink="sheet2!X9">
      <xdr:nvSpPr>
        <xdr:cNvPr id="11" name="Rounded Rectangle 10"/>
        <xdr:cNvSpPr/>
      </xdr:nvSpPr>
      <xdr:spPr>
        <a:xfrm>
          <a:off x="3482340" y="609600"/>
          <a:ext cx="1676400" cy="63246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6CB4FD0-9009-4064-BC20-1583CA70F8C7}" type="TxLink">
            <a:rPr lang="en-US" sz="1400" b="0" i="0" u="none" strike="noStrike">
              <a:solidFill>
                <a:schemeClr val="accent6">
                  <a:lumMod val="50000"/>
                </a:schemeClr>
              </a:solidFill>
              <a:latin typeface="Calibri"/>
              <a:ea typeface="Calibri"/>
              <a:cs typeface="Calibri"/>
            </a:rPr>
            <a:pPr algn="l"/>
            <a:t>₹ 22,25,65,667.24</a:t>
          </a:fld>
          <a:endParaRPr lang="en-IN" sz="1400">
            <a:solidFill>
              <a:schemeClr val="accent6">
                <a:lumMod val="50000"/>
              </a:schemeClr>
            </a:solidFill>
          </a:endParaRPr>
        </a:p>
      </xdr:txBody>
    </xdr:sp>
    <xdr:clientData/>
  </xdr:twoCellAnchor>
  <xdr:twoCellAnchor>
    <xdr:from>
      <xdr:col>8</xdr:col>
      <xdr:colOff>403860</xdr:colOff>
      <xdr:row>3</xdr:row>
      <xdr:rowOff>68580</xdr:rowOff>
    </xdr:from>
    <xdr:to>
      <xdr:col>11</xdr:col>
      <xdr:colOff>274320</xdr:colOff>
      <xdr:row>6</xdr:row>
      <xdr:rowOff>137160</xdr:rowOff>
    </xdr:to>
    <xdr:sp macro="" textlink="">
      <xdr:nvSpPr>
        <xdr:cNvPr id="12" name="Rounded Rectangle 11"/>
        <xdr:cNvSpPr/>
      </xdr:nvSpPr>
      <xdr:spPr>
        <a:xfrm>
          <a:off x="5280660" y="617220"/>
          <a:ext cx="1699260" cy="61722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baseline="0">
              <a:solidFill>
                <a:schemeClr val="accent6">
                  <a:lumMod val="50000"/>
                </a:schemeClr>
              </a:solidFill>
            </a:rPr>
            <a:t>                  </a:t>
          </a:r>
          <a:r>
            <a:rPr lang="en-US" sz="1400" b="0">
              <a:solidFill>
                <a:schemeClr val="accent6">
                  <a:lumMod val="50000"/>
                </a:schemeClr>
              </a:solidFill>
            </a:rPr>
            <a:t>5</a:t>
          </a:r>
        </a:p>
        <a:p>
          <a:pPr algn="l"/>
          <a:r>
            <a:rPr lang="en-US" sz="1400" b="0">
              <a:solidFill>
                <a:schemeClr val="accent6">
                  <a:lumMod val="50000"/>
                </a:schemeClr>
              </a:solidFill>
            </a:rPr>
            <a:t>  Avg Delivery Days</a:t>
          </a:r>
        </a:p>
      </xdr:txBody>
    </xdr:sp>
    <xdr:clientData/>
  </xdr:twoCellAnchor>
  <xdr:twoCellAnchor>
    <xdr:from>
      <xdr:col>14</xdr:col>
      <xdr:colOff>419100</xdr:colOff>
      <xdr:row>3</xdr:row>
      <xdr:rowOff>60960</xdr:rowOff>
    </xdr:from>
    <xdr:to>
      <xdr:col>17</xdr:col>
      <xdr:colOff>403860</xdr:colOff>
      <xdr:row>6</xdr:row>
      <xdr:rowOff>137160</xdr:rowOff>
    </xdr:to>
    <xdr:sp macro="" textlink="">
      <xdr:nvSpPr>
        <xdr:cNvPr id="13" name="Rounded Rectangle 12"/>
        <xdr:cNvSpPr/>
      </xdr:nvSpPr>
      <xdr:spPr>
        <a:xfrm>
          <a:off x="8953500" y="609600"/>
          <a:ext cx="1813560" cy="62484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accent6">
                  <a:lumMod val="50000"/>
                </a:schemeClr>
              </a:solidFill>
            </a:rPr>
            <a:t>               </a:t>
          </a:r>
          <a:r>
            <a:rPr lang="en-IN" sz="1400" baseline="0">
              <a:solidFill>
                <a:schemeClr val="accent6">
                  <a:lumMod val="50000"/>
                </a:schemeClr>
              </a:solidFill>
            </a:rPr>
            <a:t> </a:t>
          </a:r>
          <a:r>
            <a:rPr lang="en-IN" sz="1400">
              <a:solidFill>
                <a:schemeClr val="accent6">
                  <a:lumMod val="50000"/>
                </a:schemeClr>
              </a:solidFill>
            </a:rPr>
            <a:t>472</a:t>
          </a:r>
        </a:p>
        <a:p>
          <a:pPr algn="l"/>
          <a:r>
            <a:rPr lang="en-IN" sz="1400">
              <a:solidFill>
                <a:schemeClr val="accent6">
                  <a:lumMod val="50000"/>
                </a:schemeClr>
              </a:solidFill>
            </a:rPr>
            <a:t>    On-Time Delivery</a:t>
          </a:r>
        </a:p>
      </xdr:txBody>
    </xdr:sp>
    <xdr:clientData/>
  </xdr:twoCellAnchor>
  <xdr:twoCellAnchor>
    <xdr:from>
      <xdr:col>19</xdr:col>
      <xdr:colOff>182880</xdr:colOff>
      <xdr:row>3</xdr:row>
      <xdr:rowOff>152400</xdr:rowOff>
    </xdr:from>
    <xdr:to>
      <xdr:col>23</xdr:col>
      <xdr:colOff>129540</xdr:colOff>
      <xdr:row>28</xdr:row>
      <xdr:rowOff>38100</xdr:rowOff>
    </xdr:to>
    <xdr:sp macro="" textlink="">
      <xdr:nvSpPr>
        <xdr:cNvPr id="14" name="Rectangle 13"/>
        <xdr:cNvSpPr/>
      </xdr:nvSpPr>
      <xdr:spPr>
        <a:xfrm>
          <a:off x="11765280" y="701040"/>
          <a:ext cx="2385060" cy="4457700"/>
        </a:xfrm>
        <a:prstGeom prst="rect">
          <a:avLst/>
        </a:prstGeom>
        <a:no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190500</xdr:colOff>
      <xdr:row>3</xdr:row>
      <xdr:rowOff>160020</xdr:rowOff>
    </xdr:from>
    <xdr:to>
      <xdr:col>23</xdr:col>
      <xdr:colOff>128100</xdr:colOff>
      <xdr:row>5</xdr:row>
      <xdr:rowOff>152400</xdr:rowOff>
    </xdr:to>
    <xdr:sp macro="" textlink="">
      <xdr:nvSpPr>
        <xdr:cNvPr id="15" name="Snip Single Corner Rectangle 14"/>
        <xdr:cNvSpPr/>
      </xdr:nvSpPr>
      <xdr:spPr>
        <a:xfrm>
          <a:off x="11772900" y="708660"/>
          <a:ext cx="2376000" cy="358140"/>
        </a:xfrm>
        <a:prstGeom prst="snip1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i="0">
              <a:latin typeface="Bahnschrift SemiBold" panose="020B0502040204020203" pitchFamily="34" charset="0"/>
            </a:rPr>
            <a:t>             FILTERS</a:t>
          </a:r>
        </a:p>
      </xdr:txBody>
    </xdr:sp>
    <xdr:clientData/>
  </xdr:twoCellAnchor>
  <xdr:twoCellAnchor editAs="oneCell">
    <xdr:from>
      <xdr:col>23</xdr:col>
      <xdr:colOff>0</xdr:colOff>
      <xdr:row>32</xdr:row>
      <xdr:rowOff>0</xdr:rowOff>
    </xdr:from>
    <xdr:to>
      <xdr:col>30</xdr:col>
      <xdr:colOff>571500</xdr:colOff>
      <xdr:row>57</xdr:row>
      <xdr:rowOff>104775</xdr:rowOff>
    </xdr:to>
    <xdr:pic>
      <xdr:nvPicPr>
        <xdr:cNvPr id="16" name="Picture 1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800" y="5852160"/>
          <a:ext cx="4838700" cy="4676775"/>
        </a:xfrm>
        <a:prstGeom prst="rect">
          <a:avLst/>
        </a:prstGeom>
      </xdr:spPr>
    </xdr:pic>
    <xdr:clientData/>
  </xdr:twoCellAnchor>
  <xdr:twoCellAnchor editAs="oneCell">
    <xdr:from>
      <xdr:col>15</xdr:col>
      <xdr:colOff>0</xdr:colOff>
      <xdr:row>48</xdr:row>
      <xdr:rowOff>0</xdr:rowOff>
    </xdr:from>
    <xdr:to>
      <xdr:col>22</xdr:col>
      <xdr:colOff>571500</xdr:colOff>
      <xdr:row>73</xdr:row>
      <xdr:rowOff>104775</xdr:rowOff>
    </xdr:to>
    <xdr:pic>
      <xdr:nvPicPr>
        <xdr:cNvPr id="17" name="Picture 1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44000" y="8778240"/>
          <a:ext cx="4838700" cy="4676775"/>
        </a:xfrm>
        <a:prstGeom prst="rect">
          <a:avLst/>
        </a:prstGeom>
      </xdr:spPr>
    </xdr:pic>
    <xdr:clientData/>
  </xdr:twoCellAnchor>
  <xdr:twoCellAnchor editAs="oneCell">
    <xdr:from>
      <xdr:col>22</xdr:col>
      <xdr:colOff>198120</xdr:colOff>
      <xdr:row>4</xdr:row>
      <xdr:rowOff>15241</xdr:rowOff>
    </xdr:from>
    <xdr:to>
      <xdr:col>22</xdr:col>
      <xdr:colOff>518160</xdr:colOff>
      <xdr:row>5</xdr:row>
      <xdr:rowOff>141691</xdr:rowOff>
    </xdr:to>
    <xdr:pic>
      <xdr:nvPicPr>
        <xdr:cNvPr id="18" name="Picture 1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09320" y="746761"/>
          <a:ext cx="320040" cy="309330"/>
        </a:xfrm>
        <a:prstGeom prst="rect">
          <a:avLst/>
        </a:prstGeom>
      </xdr:spPr>
    </xdr:pic>
    <xdr:clientData/>
  </xdr:twoCellAnchor>
  <xdr:twoCellAnchor>
    <xdr:from>
      <xdr:col>11</xdr:col>
      <xdr:colOff>365760</xdr:colOff>
      <xdr:row>3</xdr:row>
      <xdr:rowOff>68580</xdr:rowOff>
    </xdr:from>
    <xdr:to>
      <xdr:col>14</xdr:col>
      <xdr:colOff>335280</xdr:colOff>
      <xdr:row>6</xdr:row>
      <xdr:rowOff>144780</xdr:rowOff>
    </xdr:to>
    <xdr:sp macro="" textlink="">
      <xdr:nvSpPr>
        <xdr:cNvPr id="19" name="Rounded Rectangle 18"/>
        <xdr:cNvSpPr/>
      </xdr:nvSpPr>
      <xdr:spPr>
        <a:xfrm>
          <a:off x="7071360" y="617220"/>
          <a:ext cx="1798320" cy="62484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accent6">
                  <a:lumMod val="50000"/>
                </a:schemeClr>
              </a:solidFill>
            </a:rPr>
            <a:t>              1036</a:t>
          </a:r>
        </a:p>
        <a:p>
          <a:pPr algn="l"/>
          <a:r>
            <a:rPr lang="en-IN" sz="1400">
              <a:solidFill>
                <a:schemeClr val="accent6">
                  <a:lumMod val="50000"/>
                </a:schemeClr>
              </a:solidFill>
            </a:rPr>
            <a:t>   Avg</a:t>
          </a:r>
          <a:r>
            <a:rPr lang="en-IN" sz="1400" baseline="0">
              <a:solidFill>
                <a:schemeClr val="accent6">
                  <a:lumMod val="50000"/>
                </a:schemeClr>
              </a:solidFill>
            </a:rPr>
            <a:t> Inventory Level</a:t>
          </a:r>
          <a:endParaRPr lang="en-IN" sz="1400">
            <a:solidFill>
              <a:schemeClr val="accent6">
                <a:lumMod val="50000"/>
              </a:schemeClr>
            </a:solidFill>
          </a:endParaRPr>
        </a:p>
      </xdr:txBody>
    </xdr:sp>
    <xdr:clientData/>
  </xdr:twoCellAnchor>
  <xdr:twoCellAnchor>
    <xdr:from>
      <xdr:col>2</xdr:col>
      <xdr:colOff>480060</xdr:colOff>
      <xdr:row>3</xdr:row>
      <xdr:rowOff>53340</xdr:rowOff>
    </xdr:from>
    <xdr:to>
      <xdr:col>5</xdr:col>
      <xdr:colOff>373380</xdr:colOff>
      <xdr:row>6</xdr:row>
      <xdr:rowOff>152400</xdr:rowOff>
    </xdr:to>
    <xdr:sp macro="" textlink="sheet2!X4">
      <xdr:nvSpPr>
        <xdr:cNvPr id="20" name="Rounded Rectangle 19"/>
        <xdr:cNvSpPr/>
      </xdr:nvSpPr>
      <xdr:spPr>
        <a:xfrm>
          <a:off x="1699260" y="601980"/>
          <a:ext cx="1722120" cy="64770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D2275A3-5FD6-4B4D-B5F5-666597B4F837}" type="TxLink">
            <a:rPr lang="en-US" sz="1400" b="0" i="0" u="none" strike="noStrike">
              <a:solidFill>
                <a:schemeClr val="accent6">
                  <a:lumMod val="50000"/>
                </a:schemeClr>
              </a:solidFill>
              <a:latin typeface="Calibri"/>
              <a:ea typeface="Calibri"/>
              <a:cs typeface="Calibri"/>
            </a:rPr>
            <a:pPr algn="l"/>
            <a:t>₹ 90,43,41,903.24</a:t>
          </a:fld>
          <a:endParaRPr lang="en-US" sz="1400" b="1">
            <a:solidFill>
              <a:schemeClr val="accent6">
                <a:lumMod val="50000"/>
              </a:schemeClr>
            </a:solidFill>
          </a:endParaRPr>
        </a:p>
      </xdr:txBody>
    </xdr:sp>
    <xdr:clientData/>
  </xdr:twoCellAnchor>
  <xdr:twoCellAnchor>
    <xdr:from>
      <xdr:col>0</xdr:col>
      <xdr:colOff>30480</xdr:colOff>
      <xdr:row>3</xdr:row>
      <xdr:rowOff>53340</xdr:rowOff>
    </xdr:from>
    <xdr:to>
      <xdr:col>2</xdr:col>
      <xdr:colOff>403860</xdr:colOff>
      <xdr:row>6</xdr:row>
      <xdr:rowOff>137160</xdr:rowOff>
    </xdr:to>
    <xdr:sp macro="" textlink="">
      <xdr:nvSpPr>
        <xdr:cNvPr id="21" name="Rounded Rectangle 20"/>
        <xdr:cNvSpPr/>
      </xdr:nvSpPr>
      <xdr:spPr>
        <a:xfrm>
          <a:off x="30480" y="601980"/>
          <a:ext cx="1592580" cy="63246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6">
                  <a:lumMod val="75000"/>
                </a:schemeClr>
              </a:solidFill>
            </a:rPr>
            <a:t>           </a:t>
          </a:r>
          <a:r>
            <a:rPr lang="en-US" sz="1600">
              <a:solidFill>
                <a:schemeClr val="accent6">
                  <a:lumMod val="50000"/>
                </a:schemeClr>
              </a:solidFill>
            </a:rPr>
            <a:t>1084</a:t>
          </a:r>
        </a:p>
        <a:p>
          <a:pPr algn="l"/>
          <a:r>
            <a:rPr lang="en-US" sz="1400">
              <a:solidFill>
                <a:schemeClr val="accent6">
                  <a:lumMod val="50000"/>
                </a:schemeClr>
              </a:solidFill>
            </a:rPr>
            <a:t>       Total Orders </a:t>
          </a:r>
          <a:endParaRPr lang="en-US" sz="1600">
            <a:solidFill>
              <a:schemeClr val="accent6">
                <a:lumMod val="50000"/>
              </a:schemeClr>
            </a:solidFill>
          </a:endParaRPr>
        </a:p>
      </xdr:txBody>
    </xdr:sp>
    <xdr:clientData/>
  </xdr:twoCellAnchor>
  <xdr:twoCellAnchor>
    <xdr:from>
      <xdr:col>0</xdr:col>
      <xdr:colOff>76200</xdr:colOff>
      <xdr:row>7</xdr:row>
      <xdr:rowOff>7620</xdr:rowOff>
    </xdr:from>
    <xdr:to>
      <xdr:col>7</xdr:col>
      <xdr:colOff>594360</xdr:colOff>
      <xdr:row>17</xdr:row>
      <xdr:rowOff>38100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xdr:colOff>
      <xdr:row>7</xdr:row>
      <xdr:rowOff>7620</xdr:rowOff>
    </xdr:from>
    <xdr:to>
      <xdr:col>13</xdr:col>
      <xdr:colOff>495300</xdr:colOff>
      <xdr:row>17</xdr:row>
      <xdr:rowOff>30480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129540</xdr:colOff>
      <xdr:row>4</xdr:row>
      <xdr:rowOff>160020</xdr:rowOff>
    </xdr:from>
    <xdr:to>
      <xdr:col>8</xdr:col>
      <xdr:colOff>152400</xdr:colOff>
      <xdr:row>7</xdr:row>
      <xdr:rowOff>38100</xdr:rowOff>
    </xdr:to>
    <xdr:sp macro="" textlink="">
      <xdr:nvSpPr>
        <xdr:cNvPr id="28" name="TextBox 27"/>
        <xdr:cNvSpPr txBox="1"/>
      </xdr:nvSpPr>
      <xdr:spPr>
        <a:xfrm>
          <a:off x="3787140" y="891540"/>
          <a:ext cx="12420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6">
                  <a:lumMod val="50000"/>
                </a:schemeClr>
              </a:solidFill>
            </a:rPr>
            <a:t>Total Profit</a:t>
          </a:r>
        </a:p>
      </xdr:txBody>
    </xdr:sp>
    <xdr:clientData/>
  </xdr:twoCellAnchor>
  <xdr:twoCellAnchor>
    <xdr:from>
      <xdr:col>2</xdr:col>
      <xdr:colOff>556260</xdr:colOff>
      <xdr:row>4</xdr:row>
      <xdr:rowOff>121920</xdr:rowOff>
    </xdr:from>
    <xdr:to>
      <xdr:col>5</xdr:col>
      <xdr:colOff>220980</xdr:colOff>
      <xdr:row>6</xdr:row>
      <xdr:rowOff>175260</xdr:rowOff>
    </xdr:to>
    <xdr:sp macro="" textlink="">
      <xdr:nvSpPr>
        <xdr:cNvPr id="29" name="TextBox 28"/>
        <xdr:cNvSpPr txBox="1"/>
      </xdr:nvSpPr>
      <xdr:spPr>
        <a:xfrm>
          <a:off x="1775460" y="853440"/>
          <a:ext cx="14935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6">
                  <a:lumMod val="50000"/>
                </a:schemeClr>
              </a:solidFill>
            </a:rPr>
            <a:t> Total Revenue</a:t>
          </a:r>
        </a:p>
      </xdr:txBody>
    </xdr:sp>
    <xdr:clientData/>
  </xdr:twoCellAnchor>
  <xdr:twoCellAnchor>
    <xdr:from>
      <xdr:col>13</xdr:col>
      <xdr:colOff>556260</xdr:colOff>
      <xdr:row>6</xdr:row>
      <xdr:rowOff>175260</xdr:rowOff>
    </xdr:from>
    <xdr:to>
      <xdr:col>19</xdr:col>
      <xdr:colOff>129540</xdr:colOff>
      <xdr:row>17</xdr:row>
      <xdr:rowOff>30480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17</xdr:row>
      <xdr:rowOff>83820</xdr:rowOff>
    </xdr:from>
    <xdr:to>
      <xdr:col>6</xdr:col>
      <xdr:colOff>236220</xdr:colOff>
      <xdr:row>28</xdr:row>
      <xdr:rowOff>30480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297180</xdr:colOff>
      <xdr:row>17</xdr:row>
      <xdr:rowOff>76200</xdr:rowOff>
    </xdr:from>
    <xdr:to>
      <xdr:col>13</xdr:col>
      <xdr:colOff>502920</xdr:colOff>
      <xdr:row>28</xdr:row>
      <xdr:rowOff>38100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556260</xdr:colOff>
      <xdr:row>17</xdr:row>
      <xdr:rowOff>68580</xdr:rowOff>
    </xdr:from>
    <xdr:to>
      <xdr:col>19</xdr:col>
      <xdr:colOff>137160</xdr:colOff>
      <xdr:row>28</xdr:row>
      <xdr:rowOff>30480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190500</xdr:colOff>
      <xdr:row>6</xdr:row>
      <xdr:rowOff>22859</xdr:rowOff>
    </xdr:from>
    <xdr:to>
      <xdr:col>23</xdr:col>
      <xdr:colOff>128100</xdr:colOff>
      <xdr:row>11</xdr:row>
      <xdr:rowOff>137160</xdr:rowOff>
    </xdr:to>
    <mc:AlternateContent xmlns:mc="http://schemas.openxmlformats.org/markup-compatibility/2006" xmlns:a14="http://schemas.microsoft.com/office/drawing/2010/main">
      <mc:Choice Requires="a14">
        <xdr:graphicFrame macro="">
          <xdr:nvGraphicFramePr>
            <xdr:cNvPr id="31" name="Warehouse"/>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11772900" y="1120139"/>
              <a:ext cx="2376000" cy="1028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11</xdr:row>
      <xdr:rowOff>137161</xdr:rowOff>
    </xdr:from>
    <xdr:to>
      <xdr:col>23</xdr:col>
      <xdr:colOff>129540</xdr:colOff>
      <xdr:row>17</xdr:row>
      <xdr:rowOff>114300</xdr:rowOff>
    </xdr:to>
    <mc:AlternateContent xmlns:mc="http://schemas.openxmlformats.org/markup-compatibility/2006" xmlns:a14="http://schemas.microsoft.com/office/drawing/2010/main">
      <mc:Choice Requires="a14">
        <xdr:graphicFrame macro="">
          <xdr:nvGraphicFramePr>
            <xdr:cNvPr id="32" name="Order_Status"/>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1772900" y="2148841"/>
              <a:ext cx="237744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17</xdr:row>
      <xdr:rowOff>114301</xdr:rowOff>
    </xdr:from>
    <xdr:to>
      <xdr:col>23</xdr:col>
      <xdr:colOff>128100</xdr:colOff>
      <xdr:row>23</xdr:row>
      <xdr:rowOff>45721</xdr:rowOff>
    </xdr:to>
    <mc:AlternateContent xmlns:mc="http://schemas.openxmlformats.org/markup-compatibility/2006" xmlns:a14="http://schemas.microsoft.com/office/drawing/2010/main">
      <mc:Choice Requires="a14">
        <xdr:graphicFrame macro="">
          <xdr:nvGraphicFramePr>
            <xdr:cNvPr id="33"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772900" y="3223261"/>
              <a:ext cx="23760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23</xdr:row>
      <xdr:rowOff>45721</xdr:rowOff>
    </xdr:from>
    <xdr:to>
      <xdr:col>23</xdr:col>
      <xdr:colOff>135720</xdr:colOff>
      <xdr:row>28</xdr:row>
      <xdr:rowOff>22860</xdr:rowOff>
    </xdr:to>
    <mc:AlternateContent xmlns:mc="http://schemas.openxmlformats.org/markup-compatibility/2006" xmlns:a14="http://schemas.microsoft.com/office/drawing/2010/main">
      <mc:Choice Requires="a14">
        <xdr:graphicFrame macro="">
          <xdr:nvGraphicFramePr>
            <xdr:cNvPr id="34"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780520" y="4251961"/>
              <a:ext cx="237600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342900</xdr:colOff>
      <xdr:row>29</xdr:row>
      <xdr:rowOff>137160</xdr:rowOff>
    </xdr:to>
    <xdr:sp macro="" textlink="">
      <xdr:nvSpPr>
        <xdr:cNvPr id="2" name="Rectangle 1"/>
        <xdr:cNvSpPr/>
      </xdr:nvSpPr>
      <xdr:spPr>
        <a:xfrm>
          <a:off x="0" y="0"/>
          <a:ext cx="14363700" cy="5440680"/>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solidFill>
              <a:srgbClr val="FF0000"/>
            </a:solidFill>
          </a:endParaRPr>
        </a:p>
      </xdr:txBody>
    </xdr:sp>
    <xdr:clientData/>
  </xdr:twoCellAnchor>
  <xdr:twoCellAnchor>
    <xdr:from>
      <xdr:col>0</xdr:col>
      <xdr:colOff>0</xdr:colOff>
      <xdr:row>0</xdr:row>
      <xdr:rowOff>0</xdr:rowOff>
    </xdr:from>
    <xdr:to>
      <xdr:col>17</xdr:col>
      <xdr:colOff>342900</xdr:colOff>
      <xdr:row>3</xdr:row>
      <xdr:rowOff>0</xdr:rowOff>
    </xdr:to>
    <xdr:sp macro="" textlink="">
      <xdr:nvSpPr>
        <xdr:cNvPr id="3" name="Snip and Round Single Corner Rectangle 2"/>
        <xdr:cNvSpPr/>
      </xdr:nvSpPr>
      <xdr:spPr>
        <a:xfrm flipV="1">
          <a:off x="0" y="0"/>
          <a:ext cx="10706100" cy="548640"/>
        </a:xfrm>
        <a:prstGeom prst="snipRoundRect">
          <a:avLst/>
        </a:prstGeom>
        <a:solidFill>
          <a:schemeClr val="accent6">
            <a:lumMod val="20000"/>
            <a:lumOff val="80000"/>
          </a:schemeClr>
        </a:solidFill>
        <a:ln w="31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327660</xdr:colOff>
      <xdr:row>0</xdr:row>
      <xdr:rowOff>0</xdr:rowOff>
    </xdr:from>
    <xdr:to>
      <xdr:col>23</xdr:col>
      <xdr:colOff>327660</xdr:colOff>
      <xdr:row>2</xdr:row>
      <xdr:rowOff>175260</xdr:rowOff>
    </xdr:to>
    <xdr:sp macro="" textlink="">
      <xdr:nvSpPr>
        <xdr:cNvPr id="4" name="Snip and Round Single Corner Rectangle 3"/>
        <xdr:cNvSpPr/>
      </xdr:nvSpPr>
      <xdr:spPr>
        <a:xfrm flipV="1">
          <a:off x="10690860" y="0"/>
          <a:ext cx="3657600" cy="541020"/>
        </a:xfrm>
        <a:prstGeom prst="snipRoundRect">
          <a:avLst/>
        </a:prstGeom>
        <a:solidFill>
          <a:schemeClr val="accent6">
            <a:lumMod val="75000"/>
          </a:schemeClr>
        </a:solidFill>
        <a:ln w="3175">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91440</xdr:colOff>
      <xdr:row>0</xdr:row>
      <xdr:rowOff>7621</xdr:rowOff>
    </xdr:from>
    <xdr:to>
      <xdr:col>1</xdr:col>
      <xdr:colOff>91440</xdr:colOff>
      <xdr:row>3</xdr:row>
      <xdr:rowOff>38815</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7621"/>
          <a:ext cx="609600" cy="579834"/>
        </a:xfrm>
        <a:prstGeom prst="rect">
          <a:avLst/>
        </a:prstGeom>
      </xdr:spPr>
    </xdr:pic>
    <xdr:clientData/>
  </xdr:twoCellAnchor>
  <xdr:twoCellAnchor>
    <xdr:from>
      <xdr:col>1</xdr:col>
      <xdr:colOff>22860</xdr:colOff>
      <xdr:row>0</xdr:row>
      <xdr:rowOff>38100</xdr:rowOff>
    </xdr:from>
    <xdr:to>
      <xdr:col>4</xdr:col>
      <xdr:colOff>106680</xdr:colOff>
      <xdr:row>3</xdr:row>
      <xdr:rowOff>38100</xdr:rowOff>
    </xdr:to>
    <xdr:sp macro="" textlink="">
      <xdr:nvSpPr>
        <xdr:cNvPr id="6" name="TextBox 5"/>
        <xdr:cNvSpPr txBox="1"/>
      </xdr:nvSpPr>
      <xdr:spPr>
        <a:xfrm>
          <a:off x="632460" y="38100"/>
          <a:ext cx="19126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25000"/>
                </a:schemeClr>
              </a:solidFill>
            </a:rPr>
            <a:t>APEX LOGISTICS</a:t>
          </a:r>
        </a:p>
        <a:p>
          <a:r>
            <a:rPr lang="en-IN" sz="1100" b="0"/>
            <a:t>Delivering Excellence</a:t>
          </a:r>
        </a:p>
      </xdr:txBody>
    </xdr:sp>
    <xdr:clientData/>
  </xdr:twoCellAnchor>
  <xdr:twoCellAnchor>
    <xdr:from>
      <xdr:col>4</xdr:col>
      <xdr:colOff>457200</xdr:colOff>
      <xdr:row>0</xdr:row>
      <xdr:rowOff>68580</xdr:rowOff>
    </xdr:from>
    <xdr:to>
      <xdr:col>15</xdr:col>
      <xdr:colOff>220980</xdr:colOff>
      <xdr:row>3</xdr:row>
      <xdr:rowOff>129540</xdr:rowOff>
    </xdr:to>
    <xdr:sp macro="" textlink="">
      <xdr:nvSpPr>
        <xdr:cNvPr id="7" name="TextBox 6"/>
        <xdr:cNvSpPr txBox="1"/>
      </xdr:nvSpPr>
      <xdr:spPr>
        <a:xfrm>
          <a:off x="2895600" y="68580"/>
          <a:ext cx="646938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accent6">
                  <a:lumMod val="50000"/>
                </a:schemeClr>
              </a:solidFill>
              <a:latin typeface="Calibri" panose="020F0502020204030204" pitchFamily="34" charset="0"/>
              <a:ea typeface="Calibri" panose="020F0502020204030204" pitchFamily="34" charset="0"/>
              <a:cs typeface="Calibri" panose="020F0502020204030204" pitchFamily="34" charset="0"/>
            </a:rPr>
            <a:t>                                       SUPPLY</a:t>
          </a:r>
          <a:r>
            <a:rPr lang="en-IN" sz="1600" b="1" i="0" baseline="0">
              <a:solidFill>
                <a:schemeClr val="accent6">
                  <a:lumMod val="50000"/>
                </a:schemeClr>
              </a:solidFill>
              <a:latin typeface="Calibri" panose="020F0502020204030204" pitchFamily="34" charset="0"/>
              <a:ea typeface="Calibri" panose="020F0502020204030204" pitchFamily="34" charset="0"/>
              <a:cs typeface="Calibri" panose="020F0502020204030204" pitchFamily="34" charset="0"/>
            </a:rPr>
            <a:t> CHAIN OPERATIONS DASHBOARD</a:t>
          </a:r>
        </a:p>
        <a:p>
          <a:r>
            <a:rPr lang="en-IN" sz="1100" baseline="0"/>
            <a:t>			</a:t>
          </a:r>
          <a:r>
            <a:rPr lang="en-IN" sz="1100" i="1" baseline="0">
              <a:solidFill>
                <a:schemeClr val="accent6">
                  <a:lumMod val="50000"/>
                </a:schemeClr>
              </a:solidFill>
            </a:rPr>
            <a:t>Operations &amp; Inventory Analysis</a:t>
          </a:r>
          <a:endParaRPr lang="en-IN" sz="1100" i="1">
            <a:solidFill>
              <a:schemeClr val="accent6">
                <a:lumMod val="50000"/>
              </a:schemeClr>
            </a:solidFill>
          </a:endParaRPr>
        </a:p>
      </xdr:txBody>
    </xdr:sp>
    <xdr:clientData/>
  </xdr:twoCellAnchor>
  <xdr:twoCellAnchor>
    <xdr:from>
      <xdr:col>19</xdr:col>
      <xdr:colOff>53340</xdr:colOff>
      <xdr:row>0</xdr:row>
      <xdr:rowOff>15240</xdr:rowOff>
    </xdr:from>
    <xdr:to>
      <xdr:col>22</xdr:col>
      <xdr:colOff>449580</xdr:colOff>
      <xdr:row>5</xdr:row>
      <xdr:rowOff>91440</xdr:rowOff>
    </xdr:to>
    <xdr:sp macro="" textlink="">
      <xdr:nvSpPr>
        <xdr:cNvPr id="8" name="TextBox 7"/>
        <xdr:cNvSpPr txBox="1"/>
      </xdr:nvSpPr>
      <xdr:spPr>
        <a:xfrm>
          <a:off x="11635740" y="15240"/>
          <a:ext cx="2225040" cy="99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600" b="0">
              <a:solidFill>
                <a:schemeClr val="bg1"/>
              </a:solidFill>
            </a:rPr>
            <a:t>PAGE 2 OF 2 </a:t>
          </a:r>
        </a:p>
        <a:p>
          <a:r>
            <a:rPr lang="en-IN" sz="1100" b="1">
              <a:solidFill>
                <a:schemeClr val="bg1">
                  <a:lumMod val="85000"/>
                </a:schemeClr>
              </a:solidFill>
            </a:rPr>
            <a:t>Operations</a:t>
          </a:r>
          <a:r>
            <a:rPr lang="en-IN" sz="1100" b="1" baseline="0">
              <a:solidFill>
                <a:schemeClr val="bg1">
                  <a:lumMod val="85000"/>
                </a:schemeClr>
              </a:solidFill>
            </a:rPr>
            <a:t> &amp; Inventory Analysis</a:t>
          </a:r>
          <a:endParaRPr lang="en-IN" sz="1100" b="1">
            <a:solidFill>
              <a:schemeClr val="bg1">
                <a:lumMod val="85000"/>
              </a:schemeClr>
            </a:solidFill>
          </a:endParaRPr>
        </a:p>
      </xdr:txBody>
    </xdr:sp>
    <xdr:clientData/>
  </xdr:twoCellAnchor>
  <xdr:twoCellAnchor>
    <xdr:from>
      <xdr:col>5</xdr:col>
      <xdr:colOff>434340</xdr:colOff>
      <xdr:row>3</xdr:row>
      <xdr:rowOff>60960</xdr:rowOff>
    </xdr:from>
    <xdr:to>
      <xdr:col>8</xdr:col>
      <xdr:colOff>281940</xdr:colOff>
      <xdr:row>6</xdr:row>
      <xdr:rowOff>144780</xdr:rowOff>
    </xdr:to>
    <xdr:sp macro="" textlink="">
      <xdr:nvSpPr>
        <xdr:cNvPr id="9" name="Rounded Rectangle 8"/>
        <xdr:cNvSpPr/>
      </xdr:nvSpPr>
      <xdr:spPr>
        <a:xfrm>
          <a:off x="3482340" y="609600"/>
          <a:ext cx="1676400" cy="63246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baseline="0">
              <a:solidFill>
                <a:schemeClr val="accent6">
                  <a:lumMod val="50000"/>
                </a:schemeClr>
              </a:solidFill>
              <a:latin typeface="Calibri"/>
              <a:ea typeface="Calibri"/>
              <a:cs typeface="Calibri"/>
            </a:rPr>
            <a:t>               5</a:t>
          </a:r>
          <a:endParaRPr lang="en-US" sz="1400" b="0" i="0" u="none" strike="noStrike">
            <a:solidFill>
              <a:schemeClr val="accent6">
                <a:lumMod val="50000"/>
              </a:schemeClr>
            </a:solidFill>
            <a:latin typeface="Calibri"/>
            <a:ea typeface="Calibri"/>
            <a:cs typeface="Calibri"/>
          </a:endParaRPr>
        </a:p>
      </xdr:txBody>
    </xdr:sp>
    <xdr:clientData/>
  </xdr:twoCellAnchor>
  <xdr:twoCellAnchor>
    <xdr:from>
      <xdr:col>8</xdr:col>
      <xdr:colOff>403860</xdr:colOff>
      <xdr:row>3</xdr:row>
      <xdr:rowOff>68580</xdr:rowOff>
    </xdr:from>
    <xdr:to>
      <xdr:col>11</xdr:col>
      <xdr:colOff>274320</xdr:colOff>
      <xdr:row>6</xdr:row>
      <xdr:rowOff>137160</xdr:rowOff>
    </xdr:to>
    <xdr:sp macro="" textlink="">
      <xdr:nvSpPr>
        <xdr:cNvPr id="10" name="Rounded Rectangle 9"/>
        <xdr:cNvSpPr/>
      </xdr:nvSpPr>
      <xdr:spPr>
        <a:xfrm>
          <a:off x="5280660" y="617220"/>
          <a:ext cx="1699260" cy="61722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baseline="0">
              <a:solidFill>
                <a:schemeClr val="accent6">
                  <a:lumMod val="50000"/>
                </a:schemeClr>
              </a:solidFill>
            </a:rPr>
            <a:t>                  </a:t>
          </a:r>
          <a:r>
            <a:rPr lang="en-US" sz="1400" b="0">
              <a:solidFill>
                <a:schemeClr val="accent6">
                  <a:lumMod val="50000"/>
                </a:schemeClr>
              </a:solidFill>
            </a:rPr>
            <a:t>5</a:t>
          </a:r>
        </a:p>
        <a:p>
          <a:pPr algn="l"/>
          <a:r>
            <a:rPr lang="en-US" sz="1400" b="0">
              <a:solidFill>
                <a:schemeClr val="accent6">
                  <a:lumMod val="50000"/>
                </a:schemeClr>
              </a:solidFill>
            </a:rPr>
            <a:t>  Avg Delivery Days</a:t>
          </a:r>
        </a:p>
      </xdr:txBody>
    </xdr:sp>
    <xdr:clientData/>
  </xdr:twoCellAnchor>
  <xdr:twoCellAnchor>
    <xdr:from>
      <xdr:col>14</xdr:col>
      <xdr:colOff>419100</xdr:colOff>
      <xdr:row>3</xdr:row>
      <xdr:rowOff>60960</xdr:rowOff>
    </xdr:from>
    <xdr:to>
      <xdr:col>17</xdr:col>
      <xdr:colOff>403860</xdr:colOff>
      <xdr:row>6</xdr:row>
      <xdr:rowOff>137160</xdr:rowOff>
    </xdr:to>
    <xdr:sp macro="" textlink="">
      <xdr:nvSpPr>
        <xdr:cNvPr id="11" name="Rounded Rectangle 10"/>
        <xdr:cNvSpPr/>
      </xdr:nvSpPr>
      <xdr:spPr>
        <a:xfrm>
          <a:off x="8953500" y="609600"/>
          <a:ext cx="1813560" cy="62484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accent6">
                  <a:lumMod val="50000"/>
                </a:schemeClr>
              </a:solidFill>
            </a:rPr>
            <a:t>          </a:t>
          </a:r>
          <a:r>
            <a:rPr lang="en-US" sz="1400" b="0" i="0">
              <a:solidFill>
                <a:schemeClr val="accent6">
                  <a:lumMod val="50000"/>
                </a:schemeClr>
              </a:solidFill>
              <a:effectLst/>
              <a:latin typeface="+mn-lt"/>
              <a:ea typeface="+mn-ea"/>
              <a:cs typeface="+mn-cs"/>
            </a:rPr>
            <a:t>₹</a:t>
          </a:r>
          <a:r>
            <a:rPr lang="en-IN" sz="1400">
              <a:solidFill>
                <a:schemeClr val="accent6">
                  <a:lumMod val="50000"/>
                </a:schemeClr>
              </a:solidFill>
            </a:rPr>
            <a:t> 44,87,651</a:t>
          </a:r>
        </a:p>
        <a:p>
          <a:pPr algn="l"/>
          <a:r>
            <a:rPr lang="en-IN" sz="1400">
              <a:solidFill>
                <a:schemeClr val="accent6">
                  <a:lumMod val="50000"/>
                </a:schemeClr>
              </a:solidFill>
            </a:rPr>
            <a:t>    Total</a:t>
          </a:r>
          <a:r>
            <a:rPr lang="en-IN" sz="1400" baseline="0">
              <a:solidFill>
                <a:schemeClr val="accent6">
                  <a:lumMod val="50000"/>
                </a:schemeClr>
              </a:solidFill>
            </a:rPr>
            <a:t> Shipping Cost</a:t>
          </a:r>
          <a:endParaRPr lang="en-IN" sz="1400">
            <a:solidFill>
              <a:schemeClr val="accent6">
                <a:lumMod val="50000"/>
              </a:schemeClr>
            </a:solidFill>
          </a:endParaRPr>
        </a:p>
      </xdr:txBody>
    </xdr:sp>
    <xdr:clientData/>
  </xdr:twoCellAnchor>
  <xdr:twoCellAnchor>
    <xdr:from>
      <xdr:col>19</xdr:col>
      <xdr:colOff>182880</xdr:colOff>
      <xdr:row>3</xdr:row>
      <xdr:rowOff>152400</xdr:rowOff>
    </xdr:from>
    <xdr:to>
      <xdr:col>23</xdr:col>
      <xdr:colOff>129540</xdr:colOff>
      <xdr:row>28</xdr:row>
      <xdr:rowOff>38100</xdr:rowOff>
    </xdr:to>
    <xdr:sp macro="" textlink="">
      <xdr:nvSpPr>
        <xdr:cNvPr id="12" name="Rectangle 11"/>
        <xdr:cNvSpPr/>
      </xdr:nvSpPr>
      <xdr:spPr>
        <a:xfrm>
          <a:off x="11765280" y="701040"/>
          <a:ext cx="2385060" cy="4457700"/>
        </a:xfrm>
        <a:prstGeom prst="rect">
          <a:avLst/>
        </a:prstGeom>
        <a:no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190500</xdr:colOff>
      <xdr:row>3</xdr:row>
      <xdr:rowOff>160020</xdr:rowOff>
    </xdr:from>
    <xdr:to>
      <xdr:col>23</xdr:col>
      <xdr:colOff>128100</xdr:colOff>
      <xdr:row>5</xdr:row>
      <xdr:rowOff>152400</xdr:rowOff>
    </xdr:to>
    <xdr:sp macro="" textlink="">
      <xdr:nvSpPr>
        <xdr:cNvPr id="13" name="Snip Single Corner Rectangle 12"/>
        <xdr:cNvSpPr/>
      </xdr:nvSpPr>
      <xdr:spPr>
        <a:xfrm>
          <a:off x="11772900" y="708660"/>
          <a:ext cx="2376000" cy="358140"/>
        </a:xfrm>
        <a:prstGeom prst="snip1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i="0">
              <a:latin typeface="Bahnschrift SemiBold" panose="020B0502040204020203" pitchFamily="34" charset="0"/>
            </a:rPr>
            <a:t>             FILTERS</a:t>
          </a:r>
        </a:p>
      </xdr:txBody>
    </xdr:sp>
    <xdr:clientData/>
  </xdr:twoCellAnchor>
  <xdr:twoCellAnchor editAs="oneCell">
    <xdr:from>
      <xdr:col>23</xdr:col>
      <xdr:colOff>0</xdr:colOff>
      <xdr:row>32</xdr:row>
      <xdr:rowOff>0</xdr:rowOff>
    </xdr:from>
    <xdr:to>
      <xdr:col>30</xdr:col>
      <xdr:colOff>571500</xdr:colOff>
      <xdr:row>57</xdr:row>
      <xdr:rowOff>104775</xdr:rowOff>
    </xdr:to>
    <xdr:pic>
      <xdr:nvPicPr>
        <xdr:cNvPr id="14" name="Picture 1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800" y="5852160"/>
          <a:ext cx="4838700" cy="4676775"/>
        </a:xfrm>
        <a:prstGeom prst="rect">
          <a:avLst/>
        </a:prstGeom>
      </xdr:spPr>
    </xdr:pic>
    <xdr:clientData/>
  </xdr:twoCellAnchor>
  <xdr:twoCellAnchor editAs="oneCell">
    <xdr:from>
      <xdr:col>15</xdr:col>
      <xdr:colOff>0</xdr:colOff>
      <xdr:row>48</xdr:row>
      <xdr:rowOff>0</xdr:rowOff>
    </xdr:from>
    <xdr:to>
      <xdr:col>22</xdr:col>
      <xdr:colOff>571500</xdr:colOff>
      <xdr:row>73</xdr:row>
      <xdr:rowOff>104775</xdr:rowOff>
    </xdr:to>
    <xdr:pic>
      <xdr:nvPicPr>
        <xdr:cNvPr id="15" name="Picture 1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44000" y="8778240"/>
          <a:ext cx="4838700" cy="4676775"/>
        </a:xfrm>
        <a:prstGeom prst="rect">
          <a:avLst/>
        </a:prstGeom>
      </xdr:spPr>
    </xdr:pic>
    <xdr:clientData/>
  </xdr:twoCellAnchor>
  <xdr:twoCellAnchor editAs="oneCell">
    <xdr:from>
      <xdr:col>22</xdr:col>
      <xdr:colOff>198120</xdr:colOff>
      <xdr:row>4</xdr:row>
      <xdr:rowOff>15241</xdr:rowOff>
    </xdr:from>
    <xdr:to>
      <xdr:col>22</xdr:col>
      <xdr:colOff>518160</xdr:colOff>
      <xdr:row>5</xdr:row>
      <xdr:rowOff>141691</xdr:rowOff>
    </xdr:to>
    <xdr:pic>
      <xdr:nvPicPr>
        <xdr:cNvPr id="16" name="Picture 1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09320" y="746761"/>
          <a:ext cx="320040" cy="309330"/>
        </a:xfrm>
        <a:prstGeom prst="rect">
          <a:avLst/>
        </a:prstGeom>
      </xdr:spPr>
    </xdr:pic>
    <xdr:clientData/>
  </xdr:twoCellAnchor>
  <xdr:twoCellAnchor>
    <xdr:from>
      <xdr:col>11</xdr:col>
      <xdr:colOff>365760</xdr:colOff>
      <xdr:row>3</xdr:row>
      <xdr:rowOff>68580</xdr:rowOff>
    </xdr:from>
    <xdr:to>
      <xdr:col>14</xdr:col>
      <xdr:colOff>335280</xdr:colOff>
      <xdr:row>6</xdr:row>
      <xdr:rowOff>144780</xdr:rowOff>
    </xdr:to>
    <xdr:sp macro="" textlink="">
      <xdr:nvSpPr>
        <xdr:cNvPr id="17" name="Rounded Rectangle 16"/>
        <xdr:cNvSpPr/>
      </xdr:nvSpPr>
      <xdr:spPr>
        <a:xfrm>
          <a:off x="7071360" y="617220"/>
          <a:ext cx="1798320" cy="62484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accent6">
                  <a:lumMod val="50000"/>
                </a:schemeClr>
              </a:solidFill>
            </a:rPr>
            <a:t>              247</a:t>
          </a:r>
        </a:p>
        <a:p>
          <a:pPr algn="l"/>
          <a:r>
            <a:rPr lang="en-IN" sz="1400">
              <a:solidFill>
                <a:schemeClr val="accent6">
                  <a:lumMod val="50000"/>
                </a:schemeClr>
              </a:solidFill>
            </a:rPr>
            <a:t>        Avg</a:t>
          </a:r>
          <a:r>
            <a:rPr lang="en-IN" sz="1400" baseline="0">
              <a:solidFill>
                <a:schemeClr val="accent6">
                  <a:lumMod val="50000"/>
                </a:schemeClr>
              </a:solidFill>
            </a:rPr>
            <a:t> Quantity</a:t>
          </a:r>
          <a:endParaRPr lang="en-IN" sz="1400">
            <a:solidFill>
              <a:schemeClr val="accent6">
                <a:lumMod val="50000"/>
              </a:schemeClr>
            </a:solidFill>
          </a:endParaRPr>
        </a:p>
      </xdr:txBody>
    </xdr:sp>
    <xdr:clientData/>
  </xdr:twoCellAnchor>
  <xdr:twoCellAnchor>
    <xdr:from>
      <xdr:col>2</xdr:col>
      <xdr:colOff>464820</xdr:colOff>
      <xdr:row>3</xdr:row>
      <xdr:rowOff>45720</xdr:rowOff>
    </xdr:from>
    <xdr:to>
      <xdr:col>5</xdr:col>
      <xdr:colOff>358140</xdr:colOff>
      <xdr:row>6</xdr:row>
      <xdr:rowOff>144780</xdr:rowOff>
    </xdr:to>
    <xdr:sp macro="" textlink="">
      <xdr:nvSpPr>
        <xdr:cNvPr id="18" name="Rounded Rectangle 17"/>
        <xdr:cNvSpPr/>
      </xdr:nvSpPr>
      <xdr:spPr>
        <a:xfrm>
          <a:off x="1684020" y="594360"/>
          <a:ext cx="1722120" cy="64770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accent6">
                  <a:lumMod val="50000"/>
                </a:schemeClr>
              </a:solidFill>
              <a:latin typeface="Calibri"/>
              <a:ea typeface="Calibri"/>
              <a:cs typeface="Calibri"/>
            </a:rPr>
            <a:t>           ₹ 4,143</a:t>
          </a:r>
        </a:p>
        <a:p>
          <a:pPr algn="l"/>
          <a:r>
            <a:rPr lang="en-US" sz="1400" b="0" i="0" u="none" strike="noStrike">
              <a:solidFill>
                <a:schemeClr val="accent6">
                  <a:lumMod val="50000"/>
                </a:schemeClr>
              </a:solidFill>
              <a:latin typeface="Calibri"/>
              <a:ea typeface="Calibri"/>
              <a:cs typeface="Calibri"/>
            </a:rPr>
            <a:t>  Avg Shipping Cost</a:t>
          </a:r>
        </a:p>
      </xdr:txBody>
    </xdr:sp>
    <xdr:clientData/>
  </xdr:twoCellAnchor>
  <xdr:twoCellAnchor>
    <xdr:from>
      <xdr:col>0</xdr:col>
      <xdr:colOff>30480</xdr:colOff>
      <xdr:row>3</xdr:row>
      <xdr:rowOff>53340</xdr:rowOff>
    </xdr:from>
    <xdr:to>
      <xdr:col>2</xdr:col>
      <xdr:colOff>403860</xdr:colOff>
      <xdr:row>6</xdr:row>
      <xdr:rowOff>137160</xdr:rowOff>
    </xdr:to>
    <xdr:sp macro="" textlink="">
      <xdr:nvSpPr>
        <xdr:cNvPr id="19" name="Rounded Rectangle 18"/>
        <xdr:cNvSpPr/>
      </xdr:nvSpPr>
      <xdr:spPr>
        <a:xfrm>
          <a:off x="30480" y="601980"/>
          <a:ext cx="1592580" cy="632460"/>
        </a:xfrm>
        <a:prstGeom prst="roundRect">
          <a:avLst/>
        </a:prstGeom>
        <a:solidFill>
          <a:schemeClr val="bg1"/>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6">
                  <a:lumMod val="75000"/>
                </a:schemeClr>
              </a:solidFill>
            </a:rPr>
            <a:t>     </a:t>
          </a:r>
          <a:r>
            <a:rPr lang="en-US" sz="1400">
              <a:solidFill>
                <a:schemeClr val="accent6">
                  <a:lumMod val="50000"/>
                </a:schemeClr>
              </a:solidFill>
            </a:rPr>
            <a:t> </a:t>
          </a:r>
          <a:r>
            <a:rPr lang="en-US" sz="1400" b="0" i="0">
              <a:solidFill>
                <a:schemeClr val="accent6">
                  <a:lumMod val="50000"/>
                </a:schemeClr>
              </a:solidFill>
              <a:effectLst/>
              <a:latin typeface="+mn-lt"/>
              <a:ea typeface="+mn-ea"/>
              <a:cs typeface="+mn-cs"/>
            </a:rPr>
            <a:t>₹</a:t>
          </a:r>
          <a:r>
            <a:rPr lang="en-US" sz="1400">
              <a:solidFill>
                <a:schemeClr val="accent6">
                  <a:lumMod val="50000"/>
                </a:schemeClr>
              </a:solidFill>
            </a:rPr>
            <a:t> </a:t>
          </a:r>
          <a:r>
            <a:rPr lang="en-US" sz="1600">
              <a:solidFill>
                <a:schemeClr val="accent6">
                  <a:lumMod val="50000"/>
                </a:schemeClr>
              </a:solidFill>
            </a:rPr>
            <a:t>8,34,269</a:t>
          </a:r>
        </a:p>
        <a:p>
          <a:pPr algn="l"/>
          <a:r>
            <a:rPr lang="en-US" sz="1400">
              <a:solidFill>
                <a:schemeClr val="accent6">
                  <a:lumMod val="50000"/>
                </a:schemeClr>
              </a:solidFill>
            </a:rPr>
            <a:t>   Avg Order</a:t>
          </a:r>
          <a:r>
            <a:rPr lang="en-US" sz="1400" baseline="0">
              <a:solidFill>
                <a:schemeClr val="accent6">
                  <a:lumMod val="50000"/>
                </a:schemeClr>
              </a:solidFill>
            </a:rPr>
            <a:t> Value</a:t>
          </a:r>
          <a:r>
            <a:rPr lang="en-US" sz="1400">
              <a:solidFill>
                <a:schemeClr val="accent6">
                  <a:lumMod val="50000"/>
                </a:schemeClr>
              </a:solidFill>
            </a:rPr>
            <a:t> </a:t>
          </a:r>
          <a:endParaRPr lang="en-US" sz="1600">
            <a:solidFill>
              <a:schemeClr val="accent6">
                <a:lumMod val="50000"/>
              </a:schemeClr>
            </a:solidFill>
          </a:endParaRPr>
        </a:p>
      </xdr:txBody>
    </xdr:sp>
    <xdr:clientData/>
  </xdr:twoCellAnchor>
  <xdr:twoCellAnchor>
    <xdr:from>
      <xdr:col>5</xdr:col>
      <xdr:colOff>556260</xdr:colOff>
      <xdr:row>4</xdr:row>
      <xdr:rowOff>129540</xdr:rowOff>
    </xdr:from>
    <xdr:to>
      <xdr:col>8</xdr:col>
      <xdr:colOff>434340</xdr:colOff>
      <xdr:row>6</xdr:row>
      <xdr:rowOff>121920</xdr:rowOff>
    </xdr:to>
    <xdr:sp macro="" textlink="">
      <xdr:nvSpPr>
        <xdr:cNvPr id="22" name="TextBox 21"/>
        <xdr:cNvSpPr txBox="1"/>
      </xdr:nvSpPr>
      <xdr:spPr>
        <a:xfrm>
          <a:off x="3604260" y="861060"/>
          <a:ext cx="17068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6">
                  <a:lumMod val="50000"/>
                </a:schemeClr>
              </a:solidFill>
            </a:rPr>
            <a:t>  Total Suppliers</a:t>
          </a:r>
        </a:p>
      </xdr:txBody>
    </xdr:sp>
    <xdr:clientData/>
  </xdr:twoCellAnchor>
  <xdr:twoCellAnchor>
    <xdr:from>
      <xdr:col>2</xdr:col>
      <xdr:colOff>556260</xdr:colOff>
      <xdr:row>6</xdr:row>
      <xdr:rowOff>76200</xdr:rowOff>
    </xdr:from>
    <xdr:to>
      <xdr:col>3</xdr:col>
      <xdr:colOff>38100</xdr:colOff>
      <xdr:row>6</xdr:row>
      <xdr:rowOff>175260</xdr:rowOff>
    </xdr:to>
    <xdr:sp macro="" textlink="">
      <xdr:nvSpPr>
        <xdr:cNvPr id="23" name="TextBox 22"/>
        <xdr:cNvSpPr txBox="1"/>
      </xdr:nvSpPr>
      <xdr:spPr>
        <a:xfrm>
          <a:off x="1775460" y="1173480"/>
          <a:ext cx="91440" cy="99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a:solidFill>
              <a:schemeClr val="accent6">
                <a:lumMod val="50000"/>
              </a:schemeClr>
            </a:solidFill>
          </a:endParaRPr>
        </a:p>
      </xdr:txBody>
    </xdr:sp>
    <xdr:clientData/>
  </xdr:twoCellAnchor>
  <xdr:twoCellAnchor editAs="oneCell">
    <xdr:from>
      <xdr:col>19</xdr:col>
      <xdr:colOff>190500</xdr:colOff>
      <xdr:row>6</xdr:row>
      <xdr:rowOff>22859</xdr:rowOff>
    </xdr:from>
    <xdr:to>
      <xdr:col>23</xdr:col>
      <xdr:colOff>128100</xdr:colOff>
      <xdr:row>11</xdr:row>
      <xdr:rowOff>137160</xdr:rowOff>
    </xdr:to>
    <mc:AlternateContent xmlns:mc="http://schemas.openxmlformats.org/markup-compatibility/2006">
      <mc:Choice xmlns:a14="http://schemas.microsoft.com/office/drawing/2010/main" Requires="a14">
        <xdr:graphicFrame macro="">
          <xdr:nvGraphicFramePr>
            <xdr:cNvPr id="28" name="Warehouse 1"/>
            <xdr:cNvGraphicFramePr/>
          </xdr:nvGraphicFramePr>
          <xdr:xfrm>
            <a:off x="0" y="0"/>
            <a:ext cx="0" cy="0"/>
          </xdr:xfrm>
          <a:graphic>
            <a:graphicData uri="http://schemas.microsoft.com/office/drawing/2010/slicer">
              <sle:slicer xmlns:sle="http://schemas.microsoft.com/office/drawing/2010/slicer" name="Warehouse 1"/>
            </a:graphicData>
          </a:graphic>
        </xdr:graphicFrame>
      </mc:Choice>
      <mc:Fallback>
        <xdr:sp macro="" textlink="">
          <xdr:nvSpPr>
            <xdr:cNvPr id="0" name=""/>
            <xdr:cNvSpPr>
              <a:spLocks noTextEdit="1"/>
            </xdr:cNvSpPr>
          </xdr:nvSpPr>
          <xdr:spPr>
            <a:xfrm>
              <a:off x="11772900" y="1120139"/>
              <a:ext cx="2376000" cy="1028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17</xdr:row>
      <xdr:rowOff>114301</xdr:rowOff>
    </xdr:from>
    <xdr:to>
      <xdr:col>23</xdr:col>
      <xdr:colOff>128100</xdr:colOff>
      <xdr:row>23</xdr:row>
      <xdr:rowOff>45721</xdr:rowOff>
    </xdr:to>
    <mc:AlternateContent xmlns:mc="http://schemas.openxmlformats.org/markup-compatibility/2006">
      <mc:Choice xmlns:a14="http://schemas.microsoft.com/office/drawing/2010/main" Requires="a14">
        <xdr:graphicFrame macro="">
          <xdr:nvGraphicFramePr>
            <xdr:cNvPr id="30"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1772900" y="3223261"/>
              <a:ext cx="23760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23</xdr:row>
      <xdr:rowOff>45721</xdr:rowOff>
    </xdr:from>
    <xdr:to>
      <xdr:col>23</xdr:col>
      <xdr:colOff>135720</xdr:colOff>
      <xdr:row>28</xdr:row>
      <xdr:rowOff>22860</xdr:rowOff>
    </xdr:to>
    <mc:AlternateContent xmlns:mc="http://schemas.openxmlformats.org/markup-compatibility/2006">
      <mc:Choice xmlns:a14="http://schemas.microsoft.com/office/drawing/2010/main" Requires="a14">
        <xdr:graphicFrame macro="">
          <xdr:nvGraphicFramePr>
            <xdr:cNvPr id="31" name="Product_Category 1"/>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1780520" y="4251961"/>
              <a:ext cx="237600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182880</xdr:colOff>
      <xdr:row>11</xdr:row>
      <xdr:rowOff>137161</xdr:rowOff>
    </xdr:from>
    <xdr:to>
      <xdr:col>23</xdr:col>
      <xdr:colOff>120480</xdr:colOff>
      <xdr:row>17</xdr:row>
      <xdr:rowOff>129540</xdr:rowOff>
    </xdr:to>
    <mc:AlternateContent xmlns:mc="http://schemas.openxmlformats.org/markup-compatibility/2006">
      <mc:Choice xmlns:a14="http://schemas.microsoft.com/office/drawing/2010/main" Requires="a14">
        <xdr:graphicFrame macro="">
          <xdr:nvGraphicFramePr>
            <xdr:cNvPr id="32" name="Supplie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1765280" y="2148841"/>
              <a:ext cx="2376000" cy="108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6</xdr:row>
      <xdr:rowOff>175260</xdr:rowOff>
    </xdr:from>
    <xdr:to>
      <xdr:col>7</xdr:col>
      <xdr:colOff>365760</xdr:colOff>
      <xdr:row>17</xdr:row>
      <xdr:rowOff>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419100</xdr:colOff>
      <xdr:row>6</xdr:row>
      <xdr:rowOff>175260</xdr:rowOff>
    </xdr:from>
    <xdr:to>
      <xdr:col>13</xdr:col>
      <xdr:colOff>243840</xdr:colOff>
      <xdr:row>16</xdr:row>
      <xdr:rowOff>167640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304800</xdr:colOff>
      <xdr:row>7</xdr:row>
      <xdr:rowOff>7620</xdr:rowOff>
    </xdr:from>
    <xdr:to>
      <xdr:col>19</xdr:col>
      <xdr:colOff>129540</xdr:colOff>
      <xdr:row>16</xdr:row>
      <xdr:rowOff>152400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60960</xdr:colOff>
      <xdr:row>17</xdr:row>
      <xdr:rowOff>30480</xdr:rowOff>
    </xdr:from>
    <xdr:to>
      <xdr:col>5</xdr:col>
      <xdr:colOff>563880</xdr:colOff>
      <xdr:row>28</xdr:row>
      <xdr:rowOff>22860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17</xdr:row>
      <xdr:rowOff>30480</xdr:rowOff>
    </xdr:from>
    <xdr:to>
      <xdr:col>10</xdr:col>
      <xdr:colOff>266700</xdr:colOff>
      <xdr:row>28</xdr:row>
      <xdr:rowOff>22860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327660</xdr:colOff>
      <xdr:row>17</xdr:row>
      <xdr:rowOff>22860</xdr:rowOff>
    </xdr:from>
    <xdr:to>
      <xdr:col>19</xdr:col>
      <xdr:colOff>137160</xdr:colOff>
      <xdr:row>28</xdr:row>
      <xdr:rowOff>15240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34.052123611109" createdVersion="6" refreshedVersion="6" minRefreshableVersion="3" recordCount="1083">
  <cacheSource type="worksheet">
    <worksheetSource name="Table1_2"/>
  </cacheSource>
  <cacheFields count="21">
    <cacheField name="Order_ID" numFmtId="0">
      <sharedItems/>
    </cacheField>
    <cacheField name="Order_Date" numFmtId="14">
      <sharedItems containsSemiMixedTypes="0" containsNonDate="0" containsDate="1" containsString="0" minDate="2025-01-01T00:00:00" maxDate="2026-01-01T00:00:00"/>
    </cacheField>
    <cacheField name="Warehouse" numFmtId="0">
      <sharedItems count="4">
        <s v="Nagpur"/>
        <s v="Pune"/>
        <s v="Mumbai"/>
        <s v="Hyderabad"/>
      </sharedItems>
    </cacheField>
    <cacheField name="Supplier" numFmtId="0">
      <sharedItems count="5">
        <s v="Alpha Supplies"/>
        <s v="Apex Wholesale"/>
        <s v="Vertex Supply"/>
        <s v="Global Traders"/>
        <s v="Prime Distributors"/>
      </sharedItems>
    </cacheField>
    <cacheField name="Product_Category" numFmtId="0">
      <sharedItems count="4">
        <s v="Personal Care"/>
        <s v="Home"/>
        <s v="Electronics"/>
        <s v="Grocery"/>
      </sharedItems>
    </cacheField>
    <cacheField name="Product_Name" numFmtId="0">
      <sharedItems count="20">
        <s v="Shampoo"/>
        <s v="Mixer"/>
        <s v="Toothpaste"/>
        <s v="Microwave"/>
        <s v="Face Wash"/>
        <s v="Keyboard"/>
        <s v="Oil"/>
        <s v="Fan"/>
        <s v="Soap"/>
        <s v="Sugar"/>
        <s v="Mouse"/>
        <s v="Iron"/>
        <s v="Cooker"/>
        <s v="Monitor"/>
        <s v="Flour"/>
        <s v="Tea"/>
        <s v="Rice"/>
        <s v="Laptop"/>
        <s v="Printer"/>
        <s v="Lotion"/>
      </sharedItems>
    </cacheField>
    <cacheField name="State" numFmtId="0">
      <sharedItems count="4">
        <s v="Chhattisgarh"/>
        <s v="Madhya Pradesh"/>
        <s v="Maharashtra"/>
        <s v="Telangana"/>
      </sharedItems>
    </cacheField>
    <cacheField name="Transport_Mode" numFmtId="0">
      <sharedItems count="3">
        <s v="Rail"/>
        <s v="Air"/>
        <s v="Road"/>
      </sharedItems>
    </cacheField>
    <cacheField name="Quantity" numFmtId="0">
      <sharedItems containsSemiMixedTypes="0" containsString="0" containsNumber="1" containsInteger="1" minValue="10" maxValue="500"/>
    </cacheField>
    <cacheField name="Unit_Cost_INR" numFmtId="0">
      <sharedItems containsSemiMixedTypes="0" containsString="0" containsNumber="1" containsInteger="1" minValue="100" maxValue="5000"/>
    </cacheField>
    <cacheField name="Unit_Price_INR" numFmtId="0">
      <sharedItems containsSemiMixedTypes="0" containsString="0" containsNumber="1" minValue="129.9" maxValue="7391.6"/>
    </cacheField>
    <cacheField name="Inventory_Level" numFmtId="0">
      <sharedItems containsSemiMixedTypes="0" containsString="0" containsNumber="1" containsInteger="1" minValue="52" maxValue="2000"/>
    </cacheField>
    <cacheField name="Reorder_Level" numFmtId="0">
      <sharedItems containsSemiMixedTypes="0" containsString="0" containsNumber="1" containsInteger="1" minValue="80" maxValue="300"/>
    </cacheField>
    <cacheField name="Delivery_Days" numFmtId="0">
      <sharedItems containsSemiMixedTypes="0" containsString="0" containsNumber="1" containsInteger="1" minValue="1" maxValue="10"/>
    </cacheField>
    <cacheField name="On_Time_Delivery" numFmtId="0">
      <sharedItems/>
    </cacheField>
    <cacheField name="Shipping_Cost_INR" numFmtId="0">
      <sharedItems containsSemiMixedTypes="0" containsString="0" containsNumber="1" containsInteger="1" minValue="302" maxValue="7991"/>
    </cacheField>
    <cacheField name="Order_Status" numFmtId="0">
      <sharedItems count="4">
        <s v="In Transit"/>
        <s v="Delivered"/>
        <s v="Cancelled"/>
        <s v="Delayed"/>
      </sharedItems>
    </cacheField>
    <cacheField name="Revenue" numFmtId="0">
      <sharedItems containsSemiMixedTypes="0" containsString="0" containsNumber="1" minValue="2903.89" maxValue="3240395.8"/>
    </cacheField>
    <cacheField name="Profit" numFmtId="0">
      <sharedItems containsSemiMixedTypes="0" containsString="0" containsNumber="1" minValue="681.89" maxValue="1052987.8"/>
    </cacheField>
    <cacheField name="Order_Date - Copy" numFmtId="14">
      <sharedItems containsSemiMixedTypes="0" containsNonDate="0" containsDate="1" containsString="0" minDate="2025-01-01T00:00:00" maxDate="2026-01-01T00:00:00"/>
    </cacheField>
    <cacheField name="Month" numFmtId="0">
      <sharedItems containsSemiMixedTypes="0" containsString="0" containsNumber="1" containsInteger="1" minValue="1" maxValue="12" count="12">
        <n v="11"/>
        <n v="8"/>
        <n v="5"/>
        <n v="3"/>
        <n v="9"/>
        <n v="2"/>
        <n v="1"/>
        <n v="6"/>
        <n v="4"/>
        <n v="7"/>
        <n v="12"/>
        <n v="1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83">
  <r>
    <s v="ORD00001"/>
    <d v="2025-11-01T00:00:00"/>
    <x v="0"/>
    <x v="0"/>
    <x v="0"/>
    <x v="0"/>
    <x v="0"/>
    <x v="0"/>
    <n v="27"/>
    <n v="4503"/>
    <n v="5372.87"/>
    <n v="1067"/>
    <n v="158"/>
    <n v="8"/>
    <s v="No"/>
    <n v="4933"/>
    <x v="0"/>
    <n v="145067.49"/>
    <n v="23486.49"/>
    <d v="2025-11-01T00:00:00"/>
    <x v="0"/>
  </r>
  <r>
    <s v="ORD00002"/>
    <d v="2025-08-07T00:00:00"/>
    <x v="1"/>
    <x v="1"/>
    <x v="1"/>
    <x v="1"/>
    <x v="1"/>
    <x v="0"/>
    <n v="139"/>
    <n v="3252"/>
    <n v="4545.8100000000004"/>
    <n v="1444"/>
    <n v="88"/>
    <n v="3"/>
    <s v="Yes"/>
    <n v="1074"/>
    <x v="1"/>
    <n v="631867.59"/>
    <n v="179839.59"/>
    <d v="2025-08-07T00:00:00"/>
    <x v="1"/>
  </r>
  <r>
    <s v="ORD00003"/>
    <d v="2025-05-06T00:00:00"/>
    <x v="2"/>
    <x v="2"/>
    <x v="0"/>
    <x v="2"/>
    <x v="2"/>
    <x v="1"/>
    <n v="64"/>
    <n v="2849"/>
    <n v="3590.02"/>
    <n v="1436"/>
    <n v="211"/>
    <n v="8"/>
    <s v="No"/>
    <n v="2906"/>
    <x v="2"/>
    <n v="229761.28"/>
    <n v="47425.279999999999"/>
    <d v="2025-05-06T00:00:00"/>
    <x v="2"/>
  </r>
  <r>
    <s v="ORD00004"/>
    <d v="2025-03-10T00:00:00"/>
    <x v="3"/>
    <x v="1"/>
    <x v="1"/>
    <x v="3"/>
    <x v="2"/>
    <x v="1"/>
    <n v="318"/>
    <n v="1458"/>
    <n v="1857.6"/>
    <n v="1102"/>
    <n v="277"/>
    <n v="1"/>
    <s v="Yes"/>
    <n v="6049"/>
    <x v="1"/>
    <n v="590716.80000000005"/>
    <n v="127072.8"/>
    <d v="2025-03-10T00:00:00"/>
    <x v="3"/>
  </r>
  <r>
    <s v="ORD00005"/>
    <d v="2025-09-10T00:00:00"/>
    <x v="2"/>
    <x v="0"/>
    <x v="0"/>
    <x v="4"/>
    <x v="0"/>
    <x v="1"/>
    <n v="118"/>
    <n v="4849"/>
    <n v="6722.56"/>
    <n v="1289"/>
    <n v="272"/>
    <n v="6"/>
    <s v="No"/>
    <n v="3114"/>
    <x v="3"/>
    <n v="793262.07999999996"/>
    <n v="221080.08"/>
    <d v="2025-09-10T00:00:00"/>
    <x v="4"/>
  </r>
  <r>
    <s v="ORD00006"/>
    <d v="2025-03-05T00:00:00"/>
    <x v="3"/>
    <x v="2"/>
    <x v="0"/>
    <x v="4"/>
    <x v="0"/>
    <x v="0"/>
    <n v="214"/>
    <n v="3601"/>
    <n v="4858.13"/>
    <n v="541"/>
    <n v="246"/>
    <n v="5"/>
    <s v="Yes"/>
    <n v="542"/>
    <x v="1"/>
    <n v="1039639.82"/>
    <n v="269025.82"/>
    <d v="2025-03-05T00:00:00"/>
    <x v="3"/>
  </r>
  <r>
    <s v="ORD00007"/>
    <d v="2025-02-08T00:00:00"/>
    <x v="1"/>
    <x v="1"/>
    <x v="2"/>
    <x v="5"/>
    <x v="2"/>
    <x v="2"/>
    <n v="249"/>
    <n v="2006"/>
    <n v="2926.59"/>
    <n v="1490"/>
    <n v="185"/>
    <n v="9"/>
    <s v="No"/>
    <n v="5680"/>
    <x v="1"/>
    <n v="728720.91"/>
    <n v="229226.91"/>
    <d v="2025-02-08T00:00:00"/>
    <x v="5"/>
  </r>
  <r>
    <s v="ORD00008"/>
    <d v="2025-03-03T00:00:00"/>
    <x v="1"/>
    <x v="3"/>
    <x v="3"/>
    <x v="6"/>
    <x v="3"/>
    <x v="1"/>
    <n v="261"/>
    <n v="2685"/>
    <n v="3549.34"/>
    <n v="546"/>
    <n v="89"/>
    <n v="10"/>
    <s v="No"/>
    <n v="5423"/>
    <x v="3"/>
    <n v="926377.74"/>
    <n v="225592.74"/>
    <d v="2025-03-03T00:00:00"/>
    <x v="3"/>
  </r>
  <r>
    <s v="ORD00009"/>
    <d v="2025-01-10T00:00:00"/>
    <x v="2"/>
    <x v="2"/>
    <x v="1"/>
    <x v="7"/>
    <x v="3"/>
    <x v="1"/>
    <n v="62"/>
    <n v="3228"/>
    <n v="4631.18"/>
    <n v="182"/>
    <n v="87"/>
    <n v="10"/>
    <s v="No"/>
    <n v="6305"/>
    <x v="1"/>
    <n v="287133.15999999997"/>
    <n v="86997.16"/>
    <d v="2025-01-10T00:00:00"/>
    <x v="6"/>
  </r>
  <r>
    <s v="ORD00010"/>
    <d v="2025-03-08T00:00:00"/>
    <x v="1"/>
    <x v="1"/>
    <x v="0"/>
    <x v="8"/>
    <x v="1"/>
    <x v="0"/>
    <n v="219"/>
    <n v="774"/>
    <n v="1099.21"/>
    <n v="870"/>
    <n v="119"/>
    <n v="2"/>
    <s v="Yes"/>
    <n v="2192"/>
    <x v="1"/>
    <n v="240726.99"/>
    <n v="71220.990000000005"/>
    <d v="2025-03-08T00:00:00"/>
    <x v="3"/>
  </r>
  <r>
    <s v="ORD00011"/>
    <d v="2025-06-20T00:00:00"/>
    <x v="3"/>
    <x v="4"/>
    <x v="3"/>
    <x v="9"/>
    <x v="2"/>
    <x v="1"/>
    <n v="52"/>
    <n v="244"/>
    <n v="294"/>
    <n v="83"/>
    <n v="164"/>
    <n v="4"/>
    <s v="Yes"/>
    <n v="3622"/>
    <x v="0"/>
    <n v="15288"/>
    <n v="2600"/>
    <d v="2025-06-20T00:00:00"/>
    <x v="7"/>
  </r>
  <r>
    <s v="ORD00012"/>
    <d v="2025-04-30T00:00:00"/>
    <x v="0"/>
    <x v="1"/>
    <x v="2"/>
    <x v="10"/>
    <x v="0"/>
    <x v="0"/>
    <n v="408"/>
    <n v="3676"/>
    <n v="5441.73"/>
    <n v="511"/>
    <n v="229"/>
    <n v="5"/>
    <s v="Yes"/>
    <n v="2094"/>
    <x v="1"/>
    <n v="2220225.84"/>
    <n v="720417.84"/>
    <d v="2025-04-30T00:00:00"/>
    <x v="8"/>
  </r>
  <r>
    <s v="ORD00013"/>
    <d v="2025-07-17T00:00:00"/>
    <x v="3"/>
    <x v="0"/>
    <x v="0"/>
    <x v="8"/>
    <x v="3"/>
    <x v="0"/>
    <n v="267"/>
    <n v="1333"/>
    <n v="1828.07"/>
    <n v="1669"/>
    <n v="165"/>
    <n v="5"/>
    <s v="Yes"/>
    <n v="4484"/>
    <x v="1"/>
    <n v="488094.69"/>
    <n v="132183.69"/>
    <d v="2025-07-17T00:00:00"/>
    <x v="9"/>
  </r>
  <r>
    <s v="ORD00014"/>
    <d v="2025-07-21T00:00:00"/>
    <x v="2"/>
    <x v="2"/>
    <x v="1"/>
    <x v="1"/>
    <x v="0"/>
    <x v="2"/>
    <n v="79"/>
    <n v="198"/>
    <n v="258.48"/>
    <n v="1513"/>
    <n v="249"/>
    <n v="4"/>
    <s v="Yes"/>
    <n v="2056"/>
    <x v="1"/>
    <n v="20419.919999999998"/>
    <n v="4777.92"/>
    <d v="2025-07-21T00:00:00"/>
    <x v="9"/>
  </r>
  <r>
    <s v="ORD00015"/>
    <d v="2025-04-24T00:00:00"/>
    <x v="3"/>
    <x v="3"/>
    <x v="1"/>
    <x v="11"/>
    <x v="0"/>
    <x v="1"/>
    <n v="191"/>
    <n v="1405"/>
    <n v="1673.45"/>
    <n v="1698"/>
    <n v="208"/>
    <n v="4"/>
    <s v="Yes"/>
    <n v="518"/>
    <x v="1"/>
    <n v="319628.95"/>
    <n v="51273.95"/>
    <d v="2025-04-24T00:00:00"/>
    <x v="8"/>
  </r>
  <r>
    <s v="ORD00016"/>
    <d v="2025-05-09T00:00:00"/>
    <x v="1"/>
    <x v="0"/>
    <x v="1"/>
    <x v="7"/>
    <x v="0"/>
    <x v="0"/>
    <n v="128"/>
    <n v="2225"/>
    <n v="3253"/>
    <n v="82"/>
    <n v="190"/>
    <n v="4"/>
    <s v="Yes"/>
    <n v="2646"/>
    <x v="1"/>
    <n v="416384"/>
    <n v="131584"/>
    <d v="2025-05-09T00:00:00"/>
    <x v="2"/>
  </r>
  <r>
    <s v="ORD00017"/>
    <d v="2025-01-07T00:00:00"/>
    <x v="2"/>
    <x v="4"/>
    <x v="3"/>
    <x v="6"/>
    <x v="3"/>
    <x v="2"/>
    <n v="240"/>
    <n v="3464"/>
    <n v="4198.13"/>
    <n v="194"/>
    <n v="96"/>
    <n v="3"/>
    <s v="Yes"/>
    <n v="713"/>
    <x v="1"/>
    <n v="1007551.2"/>
    <n v="176191.2"/>
    <d v="2025-01-07T00:00:00"/>
    <x v="6"/>
  </r>
  <r>
    <s v="ORD00018"/>
    <d v="2025-08-11T00:00:00"/>
    <x v="3"/>
    <x v="1"/>
    <x v="1"/>
    <x v="12"/>
    <x v="1"/>
    <x v="2"/>
    <n v="365"/>
    <n v="1290"/>
    <n v="1566.41"/>
    <n v="282"/>
    <n v="96"/>
    <n v="7"/>
    <s v="No"/>
    <n v="1225"/>
    <x v="1"/>
    <n v="571739.65"/>
    <n v="100889.65"/>
    <d v="2025-08-11T00:00:00"/>
    <x v="1"/>
  </r>
  <r>
    <s v="ORD00019"/>
    <d v="2025-01-10T00:00:00"/>
    <x v="0"/>
    <x v="4"/>
    <x v="2"/>
    <x v="13"/>
    <x v="1"/>
    <x v="1"/>
    <n v="207"/>
    <n v="4798"/>
    <n v="6952.63"/>
    <n v="283"/>
    <n v="287"/>
    <n v="5"/>
    <s v="Yes"/>
    <n v="788"/>
    <x v="1"/>
    <n v="1439194.41"/>
    <n v="446008.41"/>
    <d v="2025-01-10T00:00:00"/>
    <x v="6"/>
  </r>
  <r>
    <s v="ORD00020"/>
    <d v="2025-11-25T00:00:00"/>
    <x v="0"/>
    <x v="1"/>
    <x v="1"/>
    <x v="7"/>
    <x v="3"/>
    <x v="2"/>
    <n v="257"/>
    <n v="3829"/>
    <n v="5296.14"/>
    <n v="995"/>
    <n v="244"/>
    <n v="5"/>
    <s v="Yes"/>
    <n v="1750"/>
    <x v="1"/>
    <n v="1361107.98"/>
    <n v="377054.98"/>
    <d v="2025-11-25T00:00:00"/>
    <x v="0"/>
  </r>
  <r>
    <s v="ORD00021"/>
    <d v="2025-02-14T00:00:00"/>
    <x v="3"/>
    <x v="0"/>
    <x v="3"/>
    <x v="14"/>
    <x v="0"/>
    <x v="2"/>
    <n v="259"/>
    <n v="3562"/>
    <n v="4411.3599999999997"/>
    <n v="1138"/>
    <n v="182"/>
    <n v="4"/>
    <s v="Yes"/>
    <n v="5947"/>
    <x v="1"/>
    <n v="1142542.24"/>
    <n v="219984.24"/>
    <d v="2025-02-14T00:00:00"/>
    <x v="5"/>
  </r>
  <r>
    <s v="ORD00022"/>
    <d v="2025-04-10T00:00:00"/>
    <x v="1"/>
    <x v="2"/>
    <x v="3"/>
    <x v="14"/>
    <x v="1"/>
    <x v="1"/>
    <n v="452"/>
    <n v="2120"/>
    <n v="2945.39"/>
    <n v="754"/>
    <n v="217"/>
    <n v="7"/>
    <s v="No"/>
    <n v="7599"/>
    <x v="0"/>
    <n v="1331316.28"/>
    <n v="373076.28"/>
    <d v="2025-04-10T00:00:00"/>
    <x v="8"/>
  </r>
  <r>
    <s v="ORD00023"/>
    <d v="2025-04-09T00:00:00"/>
    <x v="1"/>
    <x v="4"/>
    <x v="3"/>
    <x v="15"/>
    <x v="1"/>
    <x v="2"/>
    <n v="359"/>
    <n v="1694"/>
    <n v="2298.16"/>
    <n v="418"/>
    <n v="245"/>
    <n v="6"/>
    <s v="No"/>
    <n v="7364"/>
    <x v="2"/>
    <n v="825039.44"/>
    <n v="216893.44"/>
    <d v="2025-04-09T00:00:00"/>
    <x v="8"/>
  </r>
  <r>
    <s v="ORD00024"/>
    <d v="2025-02-08T00:00:00"/>
    <x v="3"/>
    <x v="1"/>
    <x v="2"/>
    <x v="10"/>
    <x v="2"/>
    <x v="1"/>
    <n v="79"/>
    <n v="4115"/>
    <n v="4888.8999999999996"/>
    <n v="827"/>
    <n v="241"/>
    <n v="2"/>
    <s v="Yes"/>
    <n v="3519"/>
    <x v="1"/>
    <n v="386223.1"/>
    <n v="61138.1"/>
    <d v="2025-02-08T00:00:00"/>
    <x v="5"/>
  </r>
  <r>
    <s v="ORD00025"/>
    <d v="2025-01-03T00:00:00"/>
    <x v="0"/>
    <x v="0"/>
    <x v="1"/>
    <x v="7"/>
    <x v="3"/>
    <x v="0"/>
    <n v="437"/>
    <n v="1485"/>
    <n v="1987.26"/>
    <n v="701"/>
    <n v="159"/>
    <n v="7"/>
    <s v="No"/>
    <n v="1455"/>
    <x v="2"/>
    <n v="868432.62"/>
    <n v="219487.62"/>
    <d v="2025-01-03T00:00:00"/>
    <x v="6"/>
  </r>
  <r>
    <s v="ORD00026"/>
    <d v="2025-12-10T00:00:00"/>
    <x v="2"/>
    <x v="2"/>
    <x v="0"/>
    <x v="2"/>
    <x v="0"/>
    <x v="2"/>
    <n v="263"/>
    <n v="2463"/>
    <n v="3251.45"/>
    <n v="78"/>
    <n v="137"/>
    <n v="4"/>
    <s v="Yes"/>
    <n v="2669"/>
    <x v="1"/>
    <n v="855131.35"/>
    <n v="207362.35"/>
    <d v="2025-12-10T00:00:00"/>
    <x v="10"/>
  </r>
  <r>
    <s v="ORD00027"/>
    <d v="2025-09-12T00:00:00"/>
    <x v="1"/>
    <x v="3"/>
    <x v="0"/>
    <x v="4"/>
    <x v="1"/>
    <x v="1"/>
    <n v="222"/>
    <n v="4857"/>
    <n v="6408.58"/>
    <n v="657"/>
    <n v="202"/>
    <n v="2"/>
    <s v="No"/>
    <n v="7965"/>
    <x v="3"/>
    <n v="1422704.76"/>
    <n v="344450.76"/>
    <d v="2025-09-12T00:00:00"/>
    <x v="4"/>
  </r>
  <r>
    <s v="ORD00028"/>
    <d v="2025-04-17T00:00:00"/>
    <x v="2"/>
    <x v="3"/>
    <x v="3"/>
    <x v="16"/>
    <x v="2"/>
    <x v="2"/>
    <n v="264"/>
    <n v="3178"/>
    <n v="4099.54"/>
    <n v="1151"/>
    <n v="156"/>
    <n v="3"/>
    <s v="Yes"/>
    <n v="2147"/>
    <x v="1"/>
    <n v="1082278.56"/>
    <n v="243286.56"/>
    <d v="2025-04-17T00:00:00"/>
    <x v="8"/>
  </r>
  <r>
    <s v="ORD00029"/>
    <d v="2025-07-19T00:00:00"/>
    <x v="3"/>
    <x v="3"/>
    <x v="2"/>
    <x v="17"/>
    <x v="2"/>
    <x v="2"/>
    <n v="218"/>
    <n v="2957"/>
    <n v="4334.57"/>
    <n v="1283"/>
    <n v="280"/>
    <n v="3"/>
    <s v="Yes"/>
    <n v="6580"/>
    <x v="1"/>
    <n v="944936.26"/>
    <n v="300310.26"/>
    <d v="2025-07-19T00:00:00"/>
    <x v="9"/>
  </r>
  <r>
    <s v="ORD00030"/>
    <d v="2025-10-06T00:00:00"/>
    <x v="0"/>
    <x v="1"/>
    <x v="1"/>
    <x v="3"/>
    <x v="2"/>
    <x v="1"/>
    <n v="234"/>
    <n v="3831"/>
    <n v="4947.67"/>
    <n v="594"/>
    <n v="194"/>
    <n v="10"/>
    <s v="No"/>
    <n v="5789"/>
    <x v="2"/>
    <n v="1157754.78"/>
    <n v="261300.78"/>
    <d v="2025-10-06T00:00:00"/>
    <x v="11"/>
  </r>
  <r>
    <s v="ORD00031"/>
    <d v="2025-06-16T00:00:00"/>
    <x v="0"/>
    <x v="3"/>
    <x v="2"/>
    <x v="5"/>
    <x v="3"/>
    <x v="0"/>
    <n v="36"/>
    <n v="3140"/>
    <n v="4179.8"/>
    <n v="283"/>
    <n v="141"/>
    <n v="8"/>
    <s v="No"/>
    <n v="1580"/>
    <x v="0"/>
    <n v="150472.79999999999"/>
    <n v="37432.800000000003"/>
    <d v="2025-06-16T00:00:00"/>
    <x v="7"/>
  </r>
  <r>
    <s v="ORD00032"/>
    <d v="2025-08-02T00:00:00"/>
    <x v="2"/>
    <x v="0"/>
    <x v="2"/>
    <x v="10"/>
    <x v="1"/>
    <x v="2"/>
    <n v="81"/>
    <n v="1408"/>
    <n v="2067.92"/>
    <n v="1150"/>
    <n v="107"/>
    <n v="7"/>
    <s v="No"/>
    <n v="4580"/>
    <x v="0"/>
    <n v="167501.51999999999"/>
    <n v="53453.52"/>
    <d v="2025-08-02T00:00:00"/>
    <x v="1"/>
  </r>
  <r>
    <s v="ORD00033"/>
    <d v="2025-09-02T00:00:00"/>
    <x v="1"/>
    <x v="1"/>
    <x v="2"/>
    <x v="18"/>
    <x v="3"/>
    <x v="0"/>
    <n v="158"/>
    <n v="1690"/>
    <n v="2349.77"/>
    <n v="175"/>
    <n v="98"/>
    <n v="10"/>
    <s v="No"/>
    <n v="5623"/>
    <x v="3"/>
    <n v="371263.66"/>
    <n v="104243.66"/>
    <d v="2025-09-02T00:00:00"/>
    <x v="4"/>
  </r>
  <r>
    <s v="ORD00034"/>
    <d v="2025-12-08T00:00:00"/>
    <x v="0"/>
    <x v="2"/>
    <x v="2"/>
    <x v="18"/>
    <x v="1"/>
    <x v="0"/>
    <n v="365"/>
    <n v="732"/>
    <n v="938.57"/>
    <n v="487"/>
    <n v="294"/>
    <n v="1"/>
    <s v="Yes"/>
    <n v="1148"/>
    <x v="0"/>
    <n v="342578.05"/>
    <n v="75398.05"/>
    <d v="2025-12-08T00:00:00"/>
    <x v="10"/>
  </r>
  <r>
    <s v="ORD00035"/>
    <d v="2025-10-19T00:00:00"/>
    <x v="2"/>
    <x v="4"/>
    <x v="2"/>
    <x v="5"/>
    <x v="1"/>
    <x v="1"/>
    <n v="376"/>
    <n v="3658"/>
    <n v="4907.7"/>
    <n v="1391"/>
    <n v="178"/>
    <n v="9"/>
    <s v="No"/>
    <n v="7052"/>
    <x v="1"/>
    <n v="1845295.2"/>
    <n v="469887.2"/>
    <d v="2025-10-19T00:00:00"/>
    <x v="11"/>
  </r>
  <r>
    <s v="ORD00036"/>
    <d v="2025-04-08T00:00:00"/>
    <x v="0"/>
    <x v="4"/>
    <x v="2"/>
    <x v="13"/>
    <x v="2"/>
    <x v="2"/>
    <n v="85"/>
    <n v="889"/>
    <n v="1279.44"/>
    <n v="1039"/>
    <n v="83"/>
    <n v="5"/>
    <s v="Yes"/>
    <n v="3897"/>
    <x v="1"/>
    <n v="108752.4"/>
    <n v="33187.4"/>
    <d v="2025-04-08T00:00:00"/>
    <x v="8"/>
  </r>
  <r>
    <s v="ORD00037"/>
    <d v="2025-03-23T00:00:00"/>
    <x v="1"/>
    <x v="0"/>
    <x v="3"/>
    <x v="16"/>
    <x v="2"/>
    <x v="2"/>
    <n v="445"/>
    <n v="2923"/>
    <n v="3746.04"/>
    <n v="169"/>
    <n v="284"/>
    <n v="5"/>
    <s v="Yes"/>
    <n v="1154"/>
    <x v="1"/>
    <n v="1666987.8"/>
    <n v="366252.79999999999"/>
    <d v="2025-03-23T00:00:00"/>
    <x v="3"/>
  </r>
  <r>
    <s v="ORD00038"/>
    <d v="2025-05-11T00:00:00"/>
    <x v="2"/>
    <x v="0"/>
    <x v="0"/>
    <x v="19"/>
    <x v="3"/>
    <x v="1"/>
    <n v="426"/>
    <n v="3580"/>
    <n v="4915.8599999999997"/>
    <n v="1660"/>
    <n v="133"/>
    <n v="10"/>
    <s v="No"/>
    <n v="7875"/>
    <x v="2"/>
    <n v="2094156.36"/>
    <n v="569076.36"/>
    <d v="2025-05-11T00:00:00"/>
    <x v="2"/>
  </r>
  <r>
    <s v="ORD00039"/>
    <d v="2025-03-20T00:00:00"/>
    <x v="1"/>
    <x v="0"/>
    <x v="2"/>
    <x v="10"/>
    <x v="2"/>
    <x v="0"/>
    <n v="115"/>
    <n v="114"/>
    <n v="148.57"/>
    <n v="1631"/>
    <n v="270"/>
    <n v="9"/>
    <s v="No"/>
    <n v="3611"/>
    <x v="2"/>
    <n v="17085.55"/>
    <n v="3975.55"/>
    <d v="2025-03-20T00:00:00"/>
    <x v="3"/>
  </r>
  <r>
    <s v="ORD00040"/>
    <d v="2025-07-10T00:00:00"/>
    <x v="2"/>
    <x v="2"/>
    <x v="1"/>
    <x v="3"/>
    <x v="0"/>
    <x v="1"/>
    <n v="457"/>
    <n v="1110"/>
    <n v="1384.8"/>
    <n v="787"/>
    <n v="275"/>
    <n v="4"/>
    <s v="Yes"/>
    <n v="1258"/>
    <x v="1"/>
    <n v="632853.6"/>
    <n v="125583.6"/>
    <d v="2025-07-10T00:00:00"/>
    <x v="9"/>
  </r>
  <r>
    <s v="ORD00041"/>
    <d v="2025-12-31T00:00:00"/>
    <x v="2"/>
    <x v="2"/>
    <x v="1"/>
    <x v="11"/>
    <x v="2"/>
    <x v="0"/>
    <n v="395"/>
    <n v="644"/>
    <n v="759.41"/>
    <n v="964"/>
    <n v="181"/>
    <n v="9"/>
    <s v="No"/>
    <n v="7680"/>
    <x v="3"/>
    <n v="299966.95"/>
    <n v="45586.95"/>
    <d v="2025-12-31T00:00:00"/>
    <x v="10"/>
  </r>
  <r>
    <s v="ORD00042"/>
    <d v="2025-08-13T00:00:00"/>
    <x v="0"/>
    <x v="3"/>
    <x v="2"/>
    <x v="17"/>
    <x v="2"/>
    <x v="0"/>
    <n v="185"/>
    <n v="3535"/>
    <n v="4624.29"/>
    <n v="1333"/>
    <n v="139"/>
    <n v="3"/>
    <s v="Yes"/>
    <n v="4367"/>
    <x v="1"/>
    <n v="855493.65"/>
    <n v="201518.65"/>
    <d v="2025-08-13T00:00:00"/>
    <x v="1"/>
  </r>
  <r>
    <s v="ORD00043"/>
    <d v="2025-08-16T00:00:00"/>
    <x v="1"/>
    <x v="4"/>
    <x v="2"/>
    <x v="5"/>
    <x v="1"/>
    <x v="0"/>
    <n v="213"/>
    <n v="1403"/>
    <n v="2074.98"/>
    <n v="1575"/>
    <n v="260"/>
    <n v="6"/>
    <s v="No"/>
    <n v="678"/>
    <x v="3"/>
    <n v="441970.74"/>
    <n v="143131.74"/>
    <d v="2025-08-16T00:00:00"/>
    <x v="1"/>
  </r>
  <r>
    <s v="ORD00044"/>
    <d v="2025-06-30T00:00:00"/>
    <x v="3"/>
    <x v="4"/>
    <x v="2"/>
    <x v="13"/>
    <x v="2"/>
    <x v="1"/>
    <n v="310"/>
    <n v="1642"/>
    <n v="2443.65"/>
    <n v="1086"/>
    <n v="148"/>
    <n v="2"/>
    <s v="Yes"/>
    <n v="6562"/>
    <x v="1"/>
    <n v="757531.5"/>
    <n v="248511.5"/>
    <d v="2025-06-30T00:00:00"/>
    <x v="7"/>
  </r>
  <r>
    <s v="ORD00045"/>
    <d v="2025-10-13T00:00:00"/>
    <x v="1"/>
    <x v="1"/>
    <x v="3"/>
    <x v="16"/>
    <x v="1"/>
    <x v="0"/>
    <n v="401"/>
    <n v="1695"/>
    <n v="2360.77"/>
    <n v="1902"/>
    <n v="135"/>
    <n v="4"/>
    <s v="Yes"/>
    <n v="7509"/>
    <x v="1"/>
    <n v="946668.77"/>
    <n v="266973.77"/>
    <d v="2025-10-13T00:00:00"/>
    <x v="11"/>
  </r>
  <r>
    <s v="ORD00046"/>
    <d v="2025-03-12T00:00:00"/>
    <x v="2"/>
    <x v="3"/>
    <x v="2"/>
    <x v="13"/>
    <x v="2"/>
    <x v="2"/>
    <n v="11"/>
    <n v="202"/>
    <n v="263.99"/>
    <n v="1080"/>
    <n v="286"/>
    <n v="4"/>
    <s v="No"/>
    <n v="7679"/>
    <x v="1"/>
    <n v="2903.89"/>
    <n v="681.89"/>
    <d v="2025-03-12T00:00:00"/>
    <x v="3"/>
  </r>
  <r>
    <s v="ORD00047"/>
    <d v="2025-12-28T00:00:00"/>
    <x v="3"/>
    <x v="0"/>
    <x v="1"/>
    <x v="11"/>
    <x v="3"/>
    <x v="0"/>
    <n v="283"/>
    <n v="114"/>
    <n v="153.94"/>
    <n v="561"/>
    <n v="96"/>
    <n v="10"/>
    <s v="No"/>
    <n v="3228"/>
    <x v="0"/>
    <n v="43565.02"/>
    <n v="11303.02"/>
    <d v="2025-12-28T00:00:00"/>
    <x v="10"/>
  </r>
  <r>
    <s v="ORD00048"/>
    <d v="2025-01-27T00:00:00"/>
    <x v="1"/>
    <x v="1"/>
    <x v="0"/>
    <x v="4"/>
    <x v="3"/>
    <x v="1"/>
    <n v="399"/>
    <n v="1311"/>
    <n v="1635.89"/>
    <n v="499"/>
    <n v="237"/>
    <n v="7"/>
    <s v="No"/>
    <n v="3126"/>
    <x v="3"/>
    <n v="652720.11"/>
    <n v="129631.11"/>
    <d v="2025-01-27T00:00:00"/>
    <x v="6"/>
  </r>
  <r>
    <s v="ORD00049"/>
    <d v="2025-03-25T00:00:00"/>
    <x v="3"/>
    <x v="1"/>
    <x v="0"/>
    <x v="19"/>
    <x v="2"/>
    <x v="2"/>
    <n v="206"/>
    <n v="2629"/>
    <n v="3346.09"/>
    <n v="297"/>
    <n v="147"/>
    <n v="6"/>
    <s v="No"/>
    <n v="3591"/>
    <x v="2"/>
    <n v="689294.54"/>
    <n v="147720.54"/>
    <d v="2025-03-25T00:00:00"/>
    <x v="3"/>
  </r>
  <r>
    <s v="ORD00050"/>
    <d v="2025-07-31T00:00:00"/>
    <x v="2"/>
    <x v="4"/>
    <x v="3"/>
    <x v="9"/>
    <x v="1"/>
    <x v="0"/>
    <n v="422"/>
    <n v="3737"/>
    <n v="4374.62"/>
    <n v="424"/>
    <n v="122"/>
    <n v="3"/>
    <s v="Yes"/>
    <n v="1956"/>
    <x v="1"/>
    <n v="1846089.64"/>
    <n v="269075.64"/>
    <d v="2025-07-31T00:00:00"/>
    <x v="9"/>
  </r>
  <r>
    <s v="ORD00051"/>
    <d v="2025-09-22T00:00:00"/>
    <x v="1"/>
    <x v="4"/>
    <x v="0"/>
    <x v="4"/>
    <x v="2"/>
    <x v="1"/>
    <n v="123"/>
    <n v="2220"/>
    <n v="3118.14"/>
    <n v="1881"/>
    <n v="287"/>
    <n v="5"/>
    <s v="Yes"/>
    <n v="962"/>
    <x v="1"/>
    <n v="383531.22"/>
    <n v="110471.22"/>
    <d v="2025-09-22T00:00:00"/>
    <x v="4"/>
  </r>
  <r>
    <s v="ORD00052"/>
    <d v="2025-12-01T00:00:00"/>
    <x v="2"/>
    <x v="2"/>
    <x v="0"/>
    <x v="2"/>
    <x v="3"/>
    <x v="1"/>
    <n v="290"/>
    <n v="3793"/>
    <n v="4831.43"/>
    <n v="330"/>
    <n v="178"/>
    <n v="10"/>
    <s v="No"/>
    <n v="6200"/>
    <x v="2"/>
    <n v="1401114.7"/>
    <n v="301144.7"/>
    <d v="2025-12-01T00:00:00"/>
    <x v="10"/>
  </r>
  <r>
    <s v="ORD00053"/>
    <d v="2025-05-08T00:00:00"/>
    <x v="3"/>
    <x v="0"/>
    <x v="1"/>
    <x v="7"/>
    <x v="0"/>
    <x v="1"/>
    <n v="438"/>
    <n v="1612"/>
    <n v="2315.39"/>
    <n v="1519"/>
    <n v="174"/>
    <n v="7"/>
    <s v="No"/>
    <n v="1758"/>
    <x v="2"/>
    <n v="1014140.82"/>
    <n v="308084.82"/>
    <d v="2025-05-08T00:00:00"/>
    <x v="2"/>
  </r>
  <r>
    <s v="ORD00054"/>
    <d v="2025-10-14T00:00:00"/>
    <x v="2"/>
    <x v="2"/>
    <x v="0"/>
    <x v="4"/>
    <x v="1"/>
    <x v="2"/>
    <n v="201"/>
    <n v="3538"/>
    <n v="4091.7"/>
    <n v="1099"/>
    <n v="186"/>
    <n v="10"/>
    <s v="No"/>
    <n v="840"/>
    <x v="2"/>
    <n v="822431.7"/>
    <n v="111293.7"/>
    <d v="2025-10-14T00:00:00"/>
    <x v="11"/>
  </r>
  <r>
    <s v="ORD00055"/>
    <d v="2025-03-28T00:00:00"/>
    <x v="1"/>
    <x v="4"/>
    <x v="2"/>
    <x v="17"/>
    <x v="3"/>
    <x v="2"/>
    <n v="143"/>
    <n v="499"/>
    <n v="724.83"/>
    <n v="1729"/>
    <n v="182"/>
    <n v="7"/>
    <s v="No"/>
    <n v="1036"/>
    <x v="2"/>
    <n v="103650.69"/>
    <n v="32293.69"/>
    <d v="2025-03-28T00:00:00"/>
    <x v="3"/>
  </r>
  <r>
    <s v="ORD00056"/>
    <d v="2025-07-25T00:00:00"/>
    <x v="1"/>
    <x v="4"/>
    <x v="1"/>
    <x v="3"/>
    <x v="3"/>
    <x v="1"/>
    <n v="307"/>
    <n v="1911"/>
    <n v="2236.66"/>
    <n v="207"/>
    <n v="90"/>
    <n v="10"/>
    <s v="No"/>
    <n v="7313"/>
    <x v="1"/>
    <n v="686654.62"/>
    <n v="99977.62"/>
    <d v="2025-07-25T00:00:00"/>
    <x v="9"/>
  </r>
  <r>
    <s v="ORD00057"/>
    <d v="2025-02-02T00:00:00"/>
    <x v="1"/>
    <x v="3"/>
    <x v="2"/>
    <x v="18"/>
    <x v="0"/>
    <x v="1"/>
    <n v="218"/>
    <n v="1692"/>
    <n v="2146.2800000000002"/>
    <n v="903"/>
    <n v="231"/>
    <n v="10"/>
    <s v="No"/>
    <n v="7583"/>
    <x v="2"/>
    <n v="467889.04"/>
    <n v="99033.04"/>
    <d v="2025-02-02T00:00:00"/>
    <x v="5"/>
  </r>
  <r>
    <s v="ORD00058"/>
    <d v="2025-05-31T00:00:00"/>
    <x v="3"/>
    <x v="0"/>
    <x v="2"/>
    <x v="17"/>
    <x v="2"/>
    <x v="0"/>
    <n v="407"/>
    <n v="3311"/>
    <n v="4831.4399999999996"/>
    <n v="158"/>
    <n v="239"/>
    <n v="6"/>
    <s v="No"/>
    <n v="960"/>
    <x v="2"/>
    <n v="1966396.08"/>
    <n v="618819.07999999996"/>
    <d v="2025-05-31T00:00:00"/>
    <x v="2"/>
  </r>
  <r>
    <s v="ORD00059"/>
    <d v="2025-01-10T00:00:00"/>
    <x v="1"/>
    <x v="3"/>
    <x v="3"/>
    <x v="16"/>
    <x v="1"/>
    <x v="1"/>
    <n v="495"/>
    <n v="2429"/>
    <n v="2866.41"/>
    <n v="1937"/>
    <n v="171"/>
    <n v="10"/>
    <s v="No"/>
    <n v="4643"/>
    <x v="2"/>
    <n v="1418872.95"/>
    <n v="216517.95"/>
    <d v="2025-01-10T00:00:00"/>
    <x v="6"/>
  </r>
  <r>
    <s v="ORD00060"/>
    <d v="2025-06-18T00:00:00"/>
    <x v="1"/>
    <x v="3"/>
    <x v="2"/>
    <x v="17"/>
    <x v="1"/>
    <x v="0"/>
    <n v="177"/>
    <n v="4738"/>
    <n v="6237.75"/>
    <n v="748"/>
    <n v="189"/>
    <n v="9"/>
    <s v="No"/>
    <n v="7320"/>
    <x v="3"/>
    <n v="1104081.75"/>
    <n v="265455.75"/>
    <d v="2025-06-18T00:00:00"/>
    <x v="7"/>
  </r>
  <r>
    <s v="ORD00061"/>
    <d v="2025-08-15T00:00:00"/>
    <x v="2"/>
    <x v="4"/>
    <x v="3"/>
    <x v="16"/>
    <x v="0"/>
    <x v="2"/>
    <n v="287"/>
    <n v="1882"/>
    <n v="2446.65"/>
    <n v="1347"/>
    <n v="243"/>
    <n v="4"/>
    <s v="Yes"/>
    <n v="2506"/>
    <x v="1"/>
    <n v="702188.55"/>
    <n v="162054.54999999999"/>
    <d v="2025-08-15T00:00:00"/>
    <x v="1"/>
  </r>
  <r>
    <s v="ORD00062"/>
    <d v="2025-04-01T00:00:00"/>
    <x v="3"/>
    <x v="3"/>
    <x v="0"/>
    <x v="8"/>
    <x v="3"/>
    <x v="0"/>
    <n v="66"/>
    <n v="1419"/>
    <n v="1938.85"/>
    <n v="922"/>
    <n v="86"/>
    <n v="10"/>
    <s v="No"/>
    <n v="5449"/>
    <x v="1"/>
    <n v="127964.1"/>
    <n v="34310.1"/>
    <d v="2025-04-01T00:00:00"/>
    <x v="8"/>
  </r>
  <r>
    <s v="ORD00063"/>
    <d v="2025-08-29T00:00:00"/>
    <x v="2"/>
    <x v="4"/>
    <x v="0"/>
    <x v="4"/>
    <x v="1"/>
    <x v="1"/>
    <n v="221"/>
    <n v="883"/>
    <n v="1036.04"/>
    <n v="1049"/>
    <n v="113"/>
    <n v="4"/>
    <s v="No"/>
    <n v="5760"/>
    <x v="2"/>
    <n v="228964.84"/>
    <n v="33821.839999999997"/>
    <d v="2025-08-29T00:00:00"/>
    <x v="1"/>
  </r>
  <r>
    <s v="ORD00064"/>
    <d v="2025-06-13T00:00:00"/>
    <x v="1"/>
    <x v="2"/>
    <x v="1"/>
    <x v="3"/>
    <x v="2"/>
    <x v="2"/>
    <n v="248"/>
    <n v="2171"/>
    <n v="2640.02"/>
    <n v="550"/>
    <n v="242"/>
    <n v="6"/>
    <s v="No"/>
    <n v="5330"/>
    <x v="3"/>
    <n v="654724.96"/>
    <n v="116316.96"/>
    <d v="2025-06-13T00:00:00"/>
    <x v="7"/>
  </r>
  <r>
    <s v="ORD00065"/>
    <d v="2025-09-03T00:00:00"/>
    <x v="0"/>
    <x v="3"/>
    <x v="3"/>
    <x v="14"/>
    <x v="2"/>
    <x v="0"/>
    <n v="131"/>
    <n v="4370"/>
    <n v="6302.71"/>
    <n v="1947"/>
    <n v="204"/>
    <n v="8"/>
    <s v="No"/>
    <n v="5433"/>
    <x v="1"/>
    <n v="825655.01"/>
    <n v="253185.01"/>
    <d v="2025-09-03T00:00:00"/>
    <x v="4"/>
  </r>
  <r>
    <s v="ORD00066"/>
    <d v="2025-05-01T00:00:00"/>
    <x v="1"/>
    <x v="2"/>
    <x v="2"/>
    <x v="18"/>
    <x v="0"/>
    <x v="2"/>
    <n v="479"/>
    <n v="2908"/>
    <n v="3946.06"/>
    <n v="1800"/>
    <n v="196"/>
    <n v="8"/>
    <s v="No"/>
    <n v="1545"/>
    <x v="3"/>
    <n v="1890162.74"/>
    <n v="497230.74"/>
    <d v="2025-05-01T00:00:00"/>
    <x v="2"/>
  </r>
  <r>
    <s v="ORD00067"/>
    <d v="2025-01-04T00:00:00"/>
    <x v="3"/>
    <x v="3"/>
    <x v="0"/>
    <x v="2"/>
    <x v="1"/>
    <x v="1"/>
    <n v="279"/>
    <n v="2900"/>
    <n v="4126.13"/>
    <n v="516"/>
    <n v="292"/>
    <n v="8"/>
    <s v="No"/>
    <n v="1738"/>
    <x v="2"/>
    <n v="1151190.27"/>
    <n v="342090.27"/>
    <d v="2025-01-04T00:00:00"/>
    <x v="6"/>
  </r>
  <r>
    <s v="ORD00068"/>
    <d v="2025-01-28T00:00:00"/>
    <x v="3"/>
    <x v="0"/>
    <x v="1"/>
    <x v="12"/>
    <x v="0"/>
    <x v="0"/>
    <n v="484"/>
    <n v="4653"/>
    <n v="6076.48"/>
    <n v="1682"/>
    <n v="117"/>
    <n v="3"/>
    <s v="Yes"/>
    <n v="2885"/>
    <x v="0"/>
    <n v="2941016.32"/>
    <n v="688964.32"/>
    <d v="2025-01-28T00:00:00"/>
    <x v="6"/>
  </r>
  <r>
    <s v="ORD00069"/>
    <d v="2025-03-04T00:00:00"/>
    <x v="3"/>
    <x v="0"/>
    <x v="1"/>
    <x v="11"/>
    <x v="3"/>
    <x v="0"/>
    <n v="228"/>
    <n v="3454"/>
    <n v="4525.6899999999996"/>
    <n v="1137"/>
    <n v="294"/>
    <n v="3"/>
    <s v="Yes"/>
    <n v="1825"/>
    <x v="1"/>
    <n v="1031857.32"/>
    <n v="244345.32"/>
    <d v="2025-03-04T00:00:00"/>
    <x v="3"/>
  </r>
  <r>
    <s v="ORD00070"/>
    <d v="2025-08-24T00:00:00"/>
    <x v="1"/>
    <x v="1"/>
    <x v="1"/>
    <x v="1"/>
    <x v="0"/>
    <x v="0"/>
    <n v="292"/>
    <n v="2264"/>
    <n v="3304.47"/>
    <n v="1203"/>
    <n v="214"/>
    <n v="2"/>
    <s v="Yes"/>
    <n v="4531"/>
    <x v="1"/>
    <n v="964905.24"/>
    <n v="303817.24"/>
    <d v="2025-08-24T00:00:00"/>
    <x v="1"/>
  </r>
  <r>
    <s v="ORD00071"/>
    <d v="2025-02-06T00:00:00"/>
    <x v="1"/>
    <x v="4"/>
    <x v="2"/>
    <x v="5"/>
    <x v="1"/>
    <x v="1"/>
    <n v="390"/>
    <n v="869"/>
    <n v="1204.43"/>
    <n v="955"/>
    <n v="116"/>
    <n v="4"/>
    <s v="Yes"/>
    <n v="3148"/>
    <x v="1"/>
    <n v="469727.7"/>
    <n v="130817.7"/>
    <d v="2025-02-06T00:00:00"/>
    <x v="5"/>
  </r>
  <r>
    <s v="ORD00072"/>
    <d v="2025-02-28T00:00:00"/>
    <x v="3"/>
    <x v="3"/>
    <x v="1"/>
    <x v="12"/>
    <x v="3"/>
    <x v="0"/>
    <n v="407"/>
    <n v="1125"/>
    <n v="1562.96"/>
    <n v="443"/>
    <n v="187"/>
    <n v="6"/>
    <s v="No"/>
    <n v="6859"/>
    <x v="0"/>
    <n v="636124.72"/>
    <n v="178249.72"/>
    <d v="2025-02-28T00:00:00"/>
    <x v="5"/>
  </r>
  <r>
    <s v="ORD00073"/>
    <d v="2025-03-29T00:00:00"/>
    <x v="0"/>
    <x v="4"/>
    <x v="1"/>
    <x v="11"/>
    <x v="3"/>
    <x v="2"/>
    <n v="358"/>
    <n v="3358"/>
    <n v="4383.2"/>
    <n v="517"/>
    <n v="297"/>
    <n v="1"/>
    <s v="Yes"/>
    <n v="7117"/>
    <x v="1"/>
    <n v="1569185.6"/>
    <n v="367021.6"/>
    <d v="2025-03-29T00:00:00"/>
    <x v="3"/>
  </r>
  <r>
    <s v="ORD00074"/>
    <d v="2025-10-24T00:00:00"/>
    <x v="0"/>
    <x v="2"/>
    <x v="3"/>
    <x v="16"/>
    <x v="0"/>
    <x v="0"/>
    <n v="142"/>
    <n v="4933"/>
    <n v="6622"/>
    <n v="663"/>
    <n v="108"/>
    <n v="2"/>
    <s v="Yes"/>
    <n v="7002"/>
    <x v="1"/>
    <n v="940324"/>
    <n v="239838"/>
    <d v="2025-10-24T00:00:00"/>
    <x v="11"/>
  </r>
  <r>
    <s v="ORD00075"/>
    <d v="2025-07-26T00:00:00"/>
    <x v="1"/>
    <x v="1"/>
    <x v="0"/>
    <x v="8"/>
    <x v="2"/>
    <x v="1"/>
    <n v="396"/>
    <n v="3920"/>
    <n v="4730.6000000000004"/>
    <n v="1626"/>
    <n v="224"/>
    <n v="8"/>
    <s v="No"/>
    <n v="2596"/>
    <x v="3"/>
    <n v="1873317.6"/>
    <n v="320997.59999999998"/>
    <d v="2025-07-26T00:00:00"/>
    <x v="9"/>
  </r>
  <r>
    <s v="ORD00076"/>
    <d v="2025-08-23T00:00:00"/>
    <x v="2"/>
    <x v="1"/>
    <x v="2"/>
    <x v="18"/>
    <x v="3"/>
    <x v="1"/>
    <n v="347"/>
    <n v="3937"/>
    <n v="4854.33"/>
    <n v="452"/>
    <n v="269"/>
    <n v="5"/>
    <s v="Yes"/>
    <n v="5759"/>
    <x v="0"/>
    <n v="1684452.51"/>
    <n v="318313.51"/>
    <d v="2025-08-23T00:00:00"/>
    <x v="1"/>
  </r>
  <r>
    <s v="ORD00077"/>
    <d v="2025-09-26T00:00:00"/>
    <x v="3"/>
    <x v="3"/>
    <x v="0"/>
    <x v="0"/>
    <x v="0"/>
    <x v="1"/>
    <n v="381"/>
    <n v="3600"/>
    <n v="4735.99"/>
    <n v="1483"/>
    <n v="169"/>
    <n v="3"/>
    <s v="Yes"/>
    <n v="923"/>
    <x v="1"/>
    <n v="1804412.19"/>
    <n v="432812.19"/>
    <d v="2025-09-26T00:00:00"/>
    <x v="4"/>
  </r>
  <r>
    <s v="ORD00078"/>
    <d v="2025-04-02T00:00:00"/>
    <x v="1"/>
    <x v="1"/>
    <x v="2"/>
    <x v="5"/>
    <x v="3"/>
    <x v="1"/>
    <n v="171"/>
    <n v="4109"/>
    <n v="5344.84"/>
    <n v="637"/>
    <n v="113"/>
    <n v="6"/>
    <s v="No"/>
    <n v="963"/>
    <x v="0"/>
    <n v="913967.64"/>
    <n v="211328.64000000001"/>
    <d v="2025-04-02T00:00:00"/>
    <x v="8"/>
  </r>
  <r>
    <s v="ORD00079"/>
    <d v="2025-02-01T00:00:00"/>
    <x v="1"/>
    <x v="0"/>
    <x v="3"/>
    <x v="15"/>
    <x v="0"/>
    <x v="0"/>
    <n v="317"/>
    <n v="3308"/>
    <n v="4846.3599999999997"/>
    <n v="908"/>
    <n v="271"/>
    <n v="4"/>
    <s v="No"/>
    <n v="1909"/>
    <x v="2"/>
    <n v="1536296.12"/>
    <n v="487660.12"/>
    <d v="2025-02-01T00:00:00"/>
    <x v="5"/>
  </r>
  <r>
    <s v="ORD00080"/>
    <d v="2025-06-29T00:00:00"/>
    <x v="0"/>
    <x v="1"/>
    <x v="1"/>
    <x v="11"/>
    <x v="0"/>
    <x v="1"/>
    <n v="307"/>
    <n v="3068"/>
    <n v="4380.3900000000003"/>
    <n v="1120"/>
    <n v="90"/>
    <n v="5"/>
    <s v="Yes"/>
    <n v="7198"/>
    <x v="1"/>
    <n v="1344779.73"/>
    <n v="402903.73"/>
    <d v="2025-06-29T00:00:00"/>
    <x v="7"/>
  </r>
  <r>
    <s v="ORD00081"/>
    <d v="2025-09-03T00:00:00"/>
    <x v="2"/>
    <x v="0"/>
    <x v="1"/>
    <x v="7"/>
    <x v="2"/>
    <x v="1"/>
    <n v="255"/>
    <n v="918"/>
    <n v="1316.83"/>
    <n v="1130"/>
    <n v="124"/>
    <n v="9"/>
    <s v="No"/>
    <n v="5176"/>
    <x v="0"/>
    <n v="335791.65"/>
    <n v="101701.65"/>
    <d v="2025-09-03T00:00:00"/>
    <x v="4"/>
  </r>
  <r>
    <s v="ORD00082"/>
    <d v="2025-08-16T00:00:00"/>
    <x v="2"/>
    <x v="2"/>
    <x v="0"/>
    <x v="2"/>
    <x v="2"/>
    <x v="2"/>
    <n v="326"/>
    <n v="2895"/>
    <n v="3963.03"/>
    <n v="1689"/>
    <n v="223"/>
    <n v="4"/>
    <s v="Yes"/>
    <n v="7879"/>
    <x v="0"/>
    <n v="1291947.78"/>
    <n v="348177.78"/>
    <d v="2025-08-16T00:00:00"/>
    <x v="1"/>
  </r>
  <r>
    <s v="ORD00083"/>
    <d v="2025-04-26T00:00:00"/>
    <x v="3"/>
    <x v="0"/>
    <x v="3"/>
    <x v="6"/>
    <x v="0"/>
    <x v="0"/>
    <n v="474"/>
    <n v="3436"/>
    <n v="4666.03"/>
    <n v="929"/>
    <n v="95"/>
    <n v="10"/>
    <s v="No"/>
    <n v="6005"/>
    <x v="0"/>
    <n v="2211698.2200000002"/>
    <n v="583034.22"/>
    <d v="2025-04-26T00:00:00"/>
    <x v="8"/>
  </r>
  <r>
    <s v="ORD00084"/>
    <d v="2025-12-27T00:00:00"/>
    <x v="0"/>
    <x v="2"/>
    <x v="3"/>
    <x v="6"/>
    <x v="3"/>
    <x v="1"/>
    <n v="142"/>
    <n v="4986"/>
    <n v="6100.05"/>
    <n v="80"/>
    <n v="137"/>
    <n v="10"/>
    <s v="No"/>
    <n v="4820"/>
    <x v="2"/>
    <n v="866207.1"/>
    <n v="158195.1"/>
    <d v="2025-12-27T00:00:00"/>
    <x v="10"/>
  </r>
  <r>
    <s v="ORD00085"/>
    <d v="2025-04-30T00:00:00"/>
    <x v="0"/>
    <x v="3"/>
    <x v="1"/>
    <x v="11"/>
    <x v="1"/>
    <x v="2"/>
    <n v="239"/>
    <n v="2936"/>
    <n v="3468.36"/>
    <n v="290"/>
    <n v="140"/>
    <n v="8"/>
    <s v="No"/>
    <n v="7047"/>
    <x v="1"/>
    <n v="828938.04"/>
    <n v="127234.04"/>
    <d v="2025-04-30T00:00:00"/>
    <x v="8"/>
  </r>
  <r>
    <s v="ORD00086"/>
    <d v="2025-09-20T00:00:00"/>
    <x v="3"/>
    <x v="2"/>
    <x v="1"/>
    <x v="1"/>
    <x v="0"/>
    <x v="2"/>
    <n v="315"/>
    <n v="2287"/>
    <n v="3288.98"/>
    <n v="1758"/>
    <n v="194"/>
    <n v="2"/>
    <s v="Yes"/>
    <n v="2631"/>
    <x v="1"/>
    <n v="1036028.7"/>
    <n v="315623.7"/>
    <d v="2025-09-20T00:00:00"/>
    <x v="4"/>
  </r>
  <r>
    <s v="ORD00087"/>
    <d v="2025-09-10T00:00:00"/>
    <x v="3"/>
    <x v="4"/>
    <x v="1"/>
    <x v="7"/>
    <x v="0"/>
    <x v="2"/>
    <n v="16"/>
    <n v="3105"/>
    <n v="3687.25"/>
    <n v="1911"/>
    <n v="240"/>
    <n v="1"/>
    <s v="Yes"/>
    <n v="7225"/>
    <x v="1"/>
    <n v="58996"/>
    <n v="9316"/>
    <d v="2025-09-10T00:00:00"/>
    <x v="4"/>
  </r>
  <r>
    <s v="ORD00088"/>
    <d v="2025-04-02T00:00:00"/>
    <x v="3"/>
    <x v="1"/>
    <x v="1"/>
    <x v="11"/>
    <x v="0"/>
    <x v="0"/>
    <n v="86"/>
    <n v="4158"/>
    <n v="5384.92"/>
    <n v="65"/>
    <n v="81"/>
    <n v="2"/>
    <s v="Yes"/>
    <n v="2943"/>
    <x v="1"/>
    <n v="463103.12"/>
    <n v="105515.12"/>
    <d v="2025-04-02T00:00:00"/>
    <x v="8"/>
  </r>
  <r>
    <s v="ORD00089"/>
    <d v="2025-07-26T00:00:00"/>
    <x v="3"/>
    <x v="4"/>
    <x v="2"/>
    <x v="18"/>
    <x v="1"/>
    <x v="0"/>
    <n v="211"/>
    <n v="4114"/>
    <n v="5728.3"/>
    <n v="61"/>
    <n v="183"/>
    <n v="7"/>
    <s v="No"/>
    <n v="3385"/>
    <x v="1"/>
    <n v="1208671.3"/>
    <n v="340617.3"/>
    <d v="2025-07-26T00:00:00"/>
    <x v="9"/>
  </r>
  <r>
    <s v="ORD00090"/>
    <d v="2025-11-24T00:00:00"/>
    <x v="0"/>
    <x v="2"/>
    <x v="2"/>
    <x v="17"/>
    <x v="1"/>
    <x v="0"/>
    <n v="76"/>
    <n v="2519"/>
    <n v="3369.5"/>
    <n v="418"/>
    <n v="138"/>
    <n v="5"/>
    <s v="Yes"/>
    <n v="5776"/>
    <x v="1"/>
    <n v="256082"/>
    <n v="64638"/>
    <d v="2025-11-24T00:00:00"/>
    <x v="0"/>
  </r>
  <r>
    <s v="ORD00091"/>
    <d v="2025-03-24T00:00:00"/>
    <x v="2"/>
    <x v="0"/>
    <x v="3"/>
    <x v="15"/>
    <x v="3"/>
    <x v="1"/>
    <n v="28"/>
    <n v="3749"/>
    <n v="5245.66"/>
    <n v="922"/>
    <n v="160"/>
    <n v="1"/>
    <s v="Yes"/>
    <n v="6446"/>
    <x v="1"/>
    <n v="146878.48000000001"/>
    <n v="41906.480000000003"/>
    <d v="2025-03-24T00:00:00"/>
    <x v="3"/>
  </r>
  <r>
    <s v="ORD00092"/>
    <d v="2025-03-08T00:00:00"/>
    <x v="1"/>
    <x v="4"/>
    <x v="2"/>
    <x v="18"/>
    <x v="3"/>
    <x v="1"/>
    <n v="145"/>
    <n v="1177"/>
    <n v="1481.27"/>
    <n v="88"/>
    <n v="267"/>
    <n v="10"/>
    <s v="No"/>
    <n v="4293"/>
    <x v="2"/>
    <n v="214784.15"/>
    <n v="44119.15"/>
    <d v="2025-03-08T00:00:00"/>
    <x v="3"/>
  </r>
  <r>
    <s v="ORD00093"/>
    <d v="2025-03-14T00:00:00"/>
    <x v="2"/>
    <x v="0"/>
    <x v="2"/>
    <x v="13"/>
    <x v="3"/>
    <x v="1"/>
    <n v="309"/>
    <n v="1359"/>
    <n v="1582.4"/>
    <n v="1598"/>
    <n v="271"/>
    <n v="9"/>
    <s v="No"/>
    <n v="4993"/>
    <x v="3"/>
    <n v="488961.6"/>
    <n v="69030.600000000006"/>
    <d v="2025-03-14T00:00:00"/>
    <x v="3"/>
  </r>
  <r>
    <s v="ORD00094"/>
    <d v="2025-12-02T00:00:00"/>
    <x v="3"/>
    <x v="3"/>
    <x v="3"/>
    <x v="6"/>
    <x v="2"/>
    <x v="0"/>
    <n v="94"/>
    <n v="2933"/>
    <n v="3693.54"/>
    <n v="1578"/>
    <n v="161"/>
    <n v="6"/>
    <s v="No"/>
    <n v="5982"/>
    <x v="2"/>
    <n v="347192.76"/>
    <n v="71490.759999999995"/>
    <d v="2025-12-02T00:00:00"/>
    <x v="10"/>
  </r>
  <r>
    <s v="ORD00095"/>
    <d v="2025-07-26T00:00:00"/>
    <x v="0"/>
    <x v="0"/>
    <x v="0"/>
    <x v="8"/>
    <x v="2"/>
    <x v="2"/>
    <n v="189"/>
    <n v="1042"/>
    <n v="1421.36"/>
    <n v="1753"/>
    <n v="212"/>
    <n v="1"/>
    <s v="Yes"/>
    <n v="4277"/>
    <x v="1"/>
    <n v="268637.03999999998"/>
    <n v="71699.039999999994"/>
    <d v="2025-07-26T00:00:00"/>
    <x v="9"/>
  </r>
  <r>
    <s v="ORD00096"/>
    <d v="2025-08-11T00:00:00"/>
    <x v="1"/>
    <x v="1"/>
    <x v="0"/>
    <x v="4"/>
    <x v="3"/>
    <x v="0"/>
    <n v="302"/>
    <n v="1412"/>
    <n v="1753.71"/>
    <n v="1514"/>
    <n v="241"/>
    <n v="2"/>
    <s v="No"/>
    <n v="6609"/>
    <x v="1"/>
    <n v="529620.42000000004"/>
    <n v="103196.42"/>
    <d v="2025-08-11T00:00:00"/>
    <x v="1"/>
  </r>
  <r>
    <s v="ORD00097"/>
    <d v="2025-01-13T00:00:00"/>
    <x v="0"/>
    <x v="4"/>
    <x v="2"/>
    <x v="17"/>
    <x v="0"/>
    <x v="1"/>
    <n v="284"/>
    <n v="4860"/>
    <n v="6337.87"/>
    <n v="144"/>
    <n v="281"/>
    <n v="3"/>
    <s v="Yes"/>
    <n v="6051"/>
    <x v="1"/>
    <n v="1799955.08"/>
    <n v="419715.08"/>
    <d v="2025-01-13T00:00:00"/>
    <x v="6"/>
  </r>
  <r>
    <s v="ORD00098"/>
    <d v="2025-07-22T00:00:00"/>
    <x v="1"/>
    <x v="0"/>
    <x v="2"/>
    <x v="18"/>
    <x v="3"/>
    <x v="0"/>
    <n v="198"/>
    <n v="2756"/>
    <n v="4085.85"/>
    <n v="407"/>
    <n v="142"/>
    <n v="10"/>
    <s v="No"/>
    <n v="5838"/>
    <x v="0"/>
    <n v="808998.3"/>
    <n v="263310.3"/>
    <d v="2025-07-22T00:00:00"/>
    <x v="9"/>
  </r>
  <r>
    <s v="ORD00099"/>
    <d v="2025-04-14T00:00:00"/>
    <x v="2"/>
    <x v="4"/>
    <x v="3"/>
    <x v="14"/>
    <x v="3"/>
    <x v="1"/>
    <n v="349"/>
    <n v="2068"/>
    <n v="2775.1"/>
    <n v="960"/>
    <n v="107"/>
    <n v="7"/>
    <s v="No"/>
    <n v="6545"/>
    <x v="1"/>
    <n v="968509.9"/>
    <n v="246777.9"/>
    <d v="2025-04-14T00:00:00"/>
    <x v="8"/>
  </r>
  <r>
    <s v="ORD00100"/>
    <d v="2025-07-24T00:00:00"/>
    <x v="0"/>
    <x v="4"/>
    <x v="0"/>
    <x v="2"/>
    <x v="1"/>
    <x v="1"/>
    <n v="367"/>
    <n v="281"/>
    <n v="378.52"/>
    <n v="1970"/>
    <n v="248"/>
    <n v="9"/>
    <s v="No"/>
    <n v="2555"/>
    <x v="2"/>
    <n v="138916.84"/>
    <n v="35789.839999999997"/>
    <d v="2025-07-24T00:00:00"/>
    <x v="9"/>
  </r>
  <r>
    <s v="ORD00101"/>
    <d v="2025-09-10T00:00:00"/>
    <x v="3"/>
    <x v="4"/>
    <x v="2"/>
    <x v="13"/>
    <x v="0"/>
    <x v="0"/>
    <n v="187"/>
    <n v="1209"/>
    <n v="1721.05"/>
    <n v="412"/>
    <n v="230"/>
    <n v="2"/>
    <s v="Yes"/>
    <n v="4870"/>
    <x v="1"/>
    <n v="321836.34999999998"/>
    <n v="95753.35"/>
    <d v="2025-09-10T00:00:00"/>
    <x v="4"/>
  </r>
  <r>
    <s v="ORD00102"/>
    <d v="2025-01-11T00:00:00"/>
    <x v="1"/>
    <x v="3"/>
    <x v="1"/>
    <x v="11"/>
    <x v="3"/>
    <x v="0"/>
    <n v="78"/>
    <n v="4785"/>
    <n v="6103.62"/>
    <n v="415"/>
    <n v="271"/>
    <n v="10"/>
    <s v="No"/>
    <n v="6561"/>
    <x v="0"/>
    <n v="476082.36"/>
    <n v="102852.36"/>
    <d v="2025-01-11T00:00:00"/>
    <x v="6"/>
  </r>
  <r>
    <s v="ORD00103"/>
    <d v="2025-08-23T00:00:00"/>
    <x v="2"/>
    <x v="2"/>
    <x v="2"/>
    <x v="18"/>
    <x v="0"/>
    <x v="1"/>
    <n v="368"/>
    <n v="3843"/>
    <n v="5317.1"/>
    <n v="1978"/>
    <n v="148"/>
    <n v="4"/>
    <s v="Yes"/>
    <n v="3179"/>
    <x v="1"/>
    <n v="1956692.8"/>
    <n v="542468.80000000005"/>
    <d v="2025-08-23T00:00:00"/>
    <x v="1"/>
  </r>
  <r>
    <s v="ORD00104"/>
    <d v="2025-11-13T00:00:00"/>
    <x v="3"/>
    <x v="3"/>
    <x v="0"/>
    <x v="19"/>
    <x v="0"/>
    <x v="0"/>
    <n v="480"/>
    <n v="1169"/>
    <n v="1738.09"/>
    <n v="1815"/>
    <n v="192"/>
    <n v="5"/>
    <s v="Yes"/>
    <n v="1504"/>
    <x v="0"/>
    <n v="834283.2"/>
    <n v="273163.2"/>
    <d v="2025-11-13T00:00:00"/>
    <x v="0"/>
  </r>
  <r>
    <s v="ORD00105"/>
    <d v="2025-06-27T00:00:00"/>
    <x v="0"/>
    <x v="0"/>
    <x v="2"/>
    <x v="17"/>
    <x v="0"/>
    <x v="1"/>
    <n v="148"/>
    <n v="4367"/>
    <n v="5939.96"/>
    <n v="1541"/>
    <n v="161"/>
    <n v="10"/>
    <s v="No"/>
    <n v="7535"/>
    <x v="1"/>
    <n v="879114.08"/>
    <n v="232798.07999999999"/>
    <d v="2025-06-27T00:00:00"/>
    <x v="7"/>
  </r>
  <r>
    <s v="ORD00106"/>
    <d v="2025-06-21T00:00:00"/>
    <x v="2"/>
    <x v="3"/>
    <x v="3"/>
    <x v="16"/>
    <x v="2"/>
    <x v="0"/>
    <n v="131"/>
    <n v="3443"/>
    <n v="4352.3900000000003"/>
    <n v="1820"/>
    <n v="234"/>
    <n v="8"/>
    <s v="No"/>
    <n v="3523"/>
    <x v="0"/>
    <n v="570163.09"/>
    <n v="119130.09"/>
    <d v="2025-06-21T00:00:00"/>
    <x v="7"/>
  </r>
  <r>
    <s v="ORD00107"/>
    <d v="2025-01-19T00:00:00"/>
    <x v="2"/>
    <x v="2"/>
    <x v="2"/>
    <x v="13"/>
    <x v="2"/>
    <x v="0"/>
    <n v="322"/>
    <n v="3705"/>
    <n v="4942.8999999999996"/>
    <n v="1136"/>
    <n v="241"/>
    <n v="5"/>
    <s v="Yes"/>
    <n v="2658"/>
    <x v="1"/>
    <n v="1591613.8"/>
    <n v="398603.8"/>
    <d v="2025-01-19T00:00:00"/>
    <x v="6"/>
  </r>
  <r>
    <s v="ORD00108"/>
    <d v="2025-08-05T00:00:00"/>
    <x v="1"/>
    <x v="1"/>
    <x v="2"/>
    <x v="5"/>
    <x v="2"/>
    <x v="1"/>
    <n v="71"/>
    <n v="4629"/>
    <n v="5911.2"/>
    <n v="194"/>
    <n v="186"/>
    <n v="4"/>
    <s v="Yes"/>
    <n v="5633"/>
    <x v="1"/>
    <n v="419695.2"/>
    <n v="91036.2"/>
    <d v="2025-08-05T00:00:00"/>
    <x v="1"/>
  </r>
  <r>
    <s v="ORD00109"/>
    <d v="2025-07-23T00:00:00"/>
    <x v="3"/>
    <x v="2"/>
    <x v="1"/>
    <x v="3"/>
    <x v="2"/>
    <x v="1"/>
    <n v="56"/>
    <n v="4111"/>
    <n v="4828.2700000000004"/>
    <n v="1190"/>
    <n v="144"/>
    <n v="10"/>
    <s v="No"/>
    <n v="1723"/>
    <x v="0"/>
    <n v="270383.12"/>
    <n v="40167.120000000003"/>
    <d v="2025-07-23T00:00:00"/>
    <x v="9"/>
  </r>
  <r>
    <s v="ORD00110"/>
    <d v="2025-06-16T00:00:00"/>
    <x v="3"/>
    <x v="0"/>
    <x v="1"/>
    <x v="7"/>
    <x v="2"/>
    <x v="0"/>
    <n v="354"/>
    <n v="2772"/>
    <n v="3910.26"/>
    <n v="938"/>
    <n v="193"/>
    <n v="1"/>
    <s v="No"/>
    <n v="4183"/>
    <x v="1"/>
    <n v="1384232.04"/>
    <n v="402944.04"/>
    <d v="2025-06-16T00:00:00"/>
    <x v="7"/>
  </r>
  <r>
    <s v="ORD00111"/>
    <d v="2025-10-03T00:00:00"/>
    <x v="1"/>
    <x v="0"/>
    <x v="3"/>
    <x v="14"/>
    <x v="1"/>
    <x v="0"/>
    <n v="444"/>
    <n v="564"/>
    <n v="777.9"/>
    <n v="89"/>
    <n v="106"/>
    <n v="5"/>
    <s v="Yes"/>
    <n v="568"/>
    <x v="1"/>
    <n v="345387.6"/>
    <n v="94971.6"/>
    <d v="2025-10-03T00:00:00"/>
    <x v="11"/>
  </r>
  <r>
    <s v="ORD00112"/>
    <d v="2025-12-01T00:00:00"/>
    <x v="2"/>
    <x v="1"/>
    <x v="1"/>
    <x v="11"/>
    <x v="0"/>
    <x v="1"/>
    <n v="222"/>
    <n v="2400"/>
    <n v="2920.24"/>
    <n v="635"/>
    <n v="86"/>
    <n v="10"/>
    <s v="No"/>
    <n v="1633"/>
    <x v="2"/>
    <n v="648293.28"/>
    <n v="115493.28"/>
    <d v="2025-12-01T00:00:00"/>
    <x v="10"/>
  </r>
  <r>
    <s v="ORD00113"/>
    <d v="2025-04-13T00:00:00"/>
    <x v="3"/>
    <x v="1"/>
    <x v="0"/>
    <x v="19"/>
    <x v="0"/>
    <x v="0"/>
    <n v="376"/>
    <n v="3516"/>
    <n v="4296.08"/>
    <n v="1333"/>
    <n v="160"/>
    <n v="5"/>
    <s v="Yes"/>
    <n v="7143"/>
    <x v="1"/>
    <n v="1615326.08"/>
    <n v="293310.08000000002"/>
    <d v="2025-04-13T00:00:00"/>
    <x v="8"/>
  </r>
  <r>
    <s v="ORD00114"/>
    <d v="2025-11-25T00:00:00"/>
    <x v="2"/>
    <x v="3"/>
    <x v="3"/>
    <x v="15"/>
    <x v="1"/>
    <x v="1"/>
    <n v="403"/>
    <n v="202"/>
    <n v="265.45"/>
    <n v="1848"/>
    <n v="286"/>
    <n v="9"/>
    <s v="No"/>
    <n v="6694"/>
    <x v="3"/>
    <n v="106976.35"/>
    <n v="25570.35"/>
    <d v="2025-11-25T00:00:00"/>
    <x v="0"/>
  </r>
  <r>
    <s v="ORD00115"/>
    <d v="2025-03-24T00:00:00"/>
    <x v="1"/>
    <x v="1"/>
    <x v="3"/>
    <x v="6"/>
    <x v="3"/>
    <x v="1"/>
    <n v="147"/>
    <n v="1861"/>
    <n v="2537.42"/>
    <n v="838"/>
    <n v="219"/>
    <n v="9"/>
    <s v="No"/>
    <n v="2964"/>
    <x v="3"/>
    <n v="373000.74"/>
    <n v="99433.74"/>
    <d v="2025-03-24T00:00:00"/>
    <x v="3"/>
  </r>
  <r>
    <s v="ORD00116"/>
    <d v="2025-09-02T00:00:00"/>
    <x v="3"/>
    <x v="3"/>
    <x v="0"/>
    <x v="4"/>
    <x v="1"/>
    <x v="2"/>
    <n v="32"/>
    <n v="2468"/>
    <n v="3026.59"/>
    <n v="1531"/>
    <n v="262"/>
    <n v="5"/>
    <s v="Yes"/>
    <n v="5848"/>
    <x v="1"/>
    <n v="96850.880000000005"/>
    <n v="17874.88"/>
    <d v="2025-09-02T00:00:00"/>
    <x v="4"/>
  </r>
  <r>
    <s v="ORD00117"/>
    <d v="2025-05-30T00:00:00"/>
    <x v="0"/>
    <x v="3"/>
    <x v="2"/>
    <x v="10"/>
    <x v="3"/>
    <x v="2"/>
    <n v="24"/>
    <n v="359"/>
    <n v="504.6"/>
    <n v="495"/>
    <n v="290"/>
    <n v="3"/>
    <s v="Yes"/>
    <n v="6546"/>
    <x v="1"/>
    <n v="12110.4"/>
    <n v="3494.4"/>
    <d v="2025-05-30T00:00:00"/>
    <x v="2"/>
  </r>
  <r>
    <s v="ORD00118"/>
    <d v="2025-11-02T00:00:00"/>
    <x v="0"/>
    <x v="3"/>
    <x v="2"/>
    <x v="18"/>
    <x v="2"/>
    <x v="2"/>
    <n v="193"/>
    <n v="890"/>
    <n v="1294.92"/>
    <n v="960"/>
    <n v="262"/>
    <n v="10"/>
    <s v="No"/>
    <n v="6728"/>
    <x v="2"/>
    <n v="249919.56"/>
    <n v="78149.56"/>
    <d v="2025-11-02T00:00:00"/>
    <x v="0"/>
  </r>
  <r>
    <s v="ORD00119"/>
    <d v="2025-05-04T00:00:00"/>
    <x v="3"/>
    <x v="2"/>
    <x v="2"/>
    <x v="17"/>
    <x v="3"/>
    <x v="2"/>
    <n v="292"/>
    <n v="488"/>
    <n v="685.69"/>
    <n v="461"/>
    <n v="110"/>
    <n v="2"/>
    <s v="Yes"/>
    <n v="2897"/>
    <x v="1"/>
    <n v="200221.48"/>
    <n v="57725.48"/>
    <d v="2025-05-04T00:00:00"/>
    <x v="2"/>
  </r>
  <r>
    <s v="ORD00120"/>
    <d v="2025-02-07T00:00:00"/>
    <x v="0"/>
    <x v="0"/>
    <x v="1"/>
    <x v="3"/>
    <x v="2"/>
    <x v="0"/>
    <n v="46"/>
    <n v="817"/>
    <n v="1031.4100000000001"/>
    <n v="720"/>
    <n v="118"/>
    <n v="9"/>
    <s v="No"/>
    <n v="6331"/>
    <x v="1"/>
    <n v="47444.86"/>
    <n v="9862.86"/>
    <d v="2025-02-07T00:00:00"/>
    <x v="5"/>
  </r>
  <r>
    <s v="ORD00121"/>
    <d v="2025-06-27T00:00:00"/>
    <x v="1"/>
    <x v="3"/>
    <x v="1"/>
    <x v="3"/>
    <x v="0"/>
    <x v="0"/>
    <n v="249"/>
    <n v="1927"/>
    <n v="2676.8"/>
    <n v="1498"/>
    <n v="116"/>
    <n v="7"/>
    <s v="No"/>
    <n v="2219"/>
    <x v="2"/>
    <n v="666523.19999999995"/>
    <n v="186700.2"/>
    <d v="2025-06-27T00:00:00"/>
    <x v="7"/>
  </r>
  <r>
    <s v="ORD00122"/>
    <d v="2025-02-11T00:00:00"/>
    <x v="3"/>
    <x v="2"/>
    <x v="2"/>
    <x v="13"/>
    <x v="1"/>
    <x v="0"/>
    <n v="78"/>
    <n v="2844"/>
    <n v="3990.68"/>
    <n v="1437"/>
    <n v="290"/>
    <n v="7"/>
    <s v="No"/>
    <n v="6741"/>
    <x v="0"/>
    <n v="311273.03999999998"/>
    <n v="89441.04"/>
    <d v="2025-02-11T00:00:00"/>
    <x v="5"/>
  </r>
  <r>
    <s v="ORD00123"/>
    <d v="2025-12-17T00:00:00"/>
    <x v="0"/>
    <x v="4"/>
    <x v="3"/>
    <x v="16"/>
    <x v="0"/>
    <x v="2"/>
    <n v="485"/>
    <n v="3140"/>
    <n v="3691.17"/>
    <n v="1368"/>
    <n v="267"/>
    <n v="3"/>
    <s v="Yes"/>
    <n v="3439"/>
    <x v="0"/>
    <n v="1790217.45"/>
    <n v="267317.45"/>
    <d v="2025-12-17T00:00:00"/>
    <x v="10"/>
  </r>
  <r>
    <s v="ORD00124"/>
    <d v="2025-06-07T00:00:00"/>
    <x v="2"/>
    <x v="3"/>
    <x v="2"/>
    <x v="10"/>
    <x v="3"/>
    <x v="0"/>
    <n v="461"/>
    <n v="3893"/>
    <n v="5549.99"/>
    <n v="1048"/>
    <n v="174"/>
    <n v="9"/>
    <s v="No"/>
    <n v="2628"/>
    <x v="2"/>
    <n v="2558545.39"/>
    <n v="763872.39"/>
    <d v="2025-06-07T00:00:00"/>
    <x v="7"/>
  </r>
  <r>
    <s v="ORD00125"/>
    <d v="2025-08-14T00:00:00"/>
    <x v="0"/>
    <x v="3"/>
    <x v="3"/>
    <x v="15"/>
    <x v="3"/>
    <x v="2"/>
    <n v="170"/>
    <n v="2360"/>
    <n v="3239.41"/>
    <n v="1009"/>
    <n v="241"/>
    <n v="10"/>
    <s v="No"/>
    <n v="2205"/>
    <x v="1"/>
    <n v="550699.69999999995"/>
    <n v="149499.70000000001"/>
    <d v="2025-08-14T00:00:00"/>
    <x v="1"/>
  </r>
  <r>
    <s v="ORD00126"/>
    <d v="2025-10-25T00:00:00"/>
    <x v="3"/>
    <x v="1"/>
    <x v="2"/>
    <x v="18"/>
    <x v="0"/>
    <x v="2"/>
    <n v="70"/>
    <n v="4611"/>
    <n v="6590.28"/>
    <n v="1267"/>
    <n v="95"/>
    <n v="6"/>
    <s v="No"/>
    <n v="7053"/>
    <x v="0"/>
    <n v="461319.6"/>
    <n v="138549.6"/>
    <d v="2025-10-25T00:00:00"/>
    <x v="11"/>
  </r>
  <r>
    <s v="ORD00127"/>
    <d v="2025-12-24T00:00:00"/>
    <x v="1"/>
    <x v="3"/>
    <x v="0"/>
    <x v="4"/>
    <x v="0"/>
    <x v="0"/>
    <n v="28"/>
    <n v="1185"/>
    <n v="1620.14"/>
    <n v="1571"/>
    <n v="236"/>
    <n v="7"/>
    <s v="No"/>
    <n v="1890"/>
    <x v="0"/>
    <n v="45363.92"/>
    <n v="12183.92"/>
    <d v="2025-12-24T00:00:00"/>
    <x v="10"/>
  </r>
  <r>
    <s v="ORD00128"/>
    <d v="2025-09-26T00:00:00"/>
    <x v="3"/>
    <x v="3"/>
    <x v="2"/>
    <x v="17"/>
    <x v="3"/>
    <x v="1"/>
    <n v="300"/>
    <n v="4973"/>
    <n v="6841.38"/>
    <n v="199"/>
    <n v="238"/>
    <n v="10"/>
    <s v="No"/>
    <n v="6565"/>
    <x v="3"/>
    <n v="2052414"/>
    <n v="560514"/>
    <d v="2025-09-26T00:00:00"/>
    <x v="4"/>
  </r>
  <r>
    <s v="ORD00129"/>
    <d v="2025-01-14T00:00:00"/>
    <x v="3"/>
    <x v="2"/>
    <x v="0"/>
    <x v="8"/>
    <x v="0"/>
    <x v="0"/>
    <n v="65"/>
    <n v="4900"/>
    <n v="5928.96"/>
    <n v="1927"/>
    <n v="276"/>
    <n v="2"/>
    <s v="Yes"/>
    <n v="2492"/>
    <x v="1"/>
    <n v="385382.40000000002"/>
    <n v="66882.399999999994"/>
    <d v="2025-01-14T00:00:00"/>
    <x v="6"/>
  </r>
  <r>
    <s v="ORD00130"/>
    <d v="2025-11-25T00:00:00"/>
    <x v="0"/>
    <x v="1"/>
    <x v="3"/>
    <x v="9"/>
    <x v="1"/>
    <x v="0"/>
    <n v="344"/>
    <n v="1646"/>
    <n v="2292.39"/>
    <n v="1824"/>
    <n v="118"/>
    <n v="10"/>
    <s v="No"/>
    <n v="1422"/>
    <x v="3"/>
    <n v="788582.16"/>
    <n v="222358.16"/>
    <d v="2025-11-25T00:00:00"/>
    <x v="0"/>
  </r>
  <r>
    <s v="ORD00131"/>
    <d v="2025-11-24T00:00:00"/>
    <x v="3"/>
    <x v="3"/>
    <x v="2"/>
    <x v="10"/>
    <x v="2"/>
    <x v="0"/>
    <n v="295"/>
    <n v="1657"/>
    <n v="2251.86"/>
    <n v="632"/>
    <n v="204"/>
    <n v="6"/>
    <s v="No"/>
    <n v="6522"/>
    <x v="2"/>
    <n v="664298.69999999995"/>
    <n v="175483.7"/>
    <d v="2025-11-24T00:00:00"/>
    <x v="0"/>
  </r>
  <r>
    <s v="ORD00132"/>
    <d v="2025-04-16T00:00:00"/>
    <x v="3"/>
    <x v="0"/>
    <x v="3"/>
    <x v="6"/>
    <x v="2"/>
    <x v="2"/>
    <n v="345"/>
    <n v="1561"/>
    <n v="2102.2800000000002"/>
    <n v="733"/>
    <n v="105"/>
    <n v="1"/>
    <s v="Yes"/>
    <n v="3851"/>
    <x v="1"/>
    <n v="725286.6"/>
    <n v="186741.6"/>
    <d v="2025-04-16T00:00:00"/>
    <x v="8"/>
  </r>
  <r>
    <s v="ORD00133"/>
    <d v="2025-10-31T00:00:00"/>
    <x v="3"/>
    <x v="1"/>
    <x v="1"/>
    <x v="12"/>
    <x v="2"/>
    <x v="2"/>
    <n v="309"/>
    <n v="2252"/>
    <n v="2876.97"/>
    <n v="1510"/>
    <n v="290"/>
    <n v="5"/>
    <s v="Yes"/>
    <n v="7921"/>
    <x v="1"/>
    <n v="888983.73"/>
    <n v="193115.73"/>
    <d v="2025-10-31T00:00:00"/>
    <x v="11"/>
  </r>
  <r>
    <s v="ORD00134"/>
    <d v="2025-03-03T00:00:00"/>
    <x v="0"/>
    <x v="0"/>
    <x v="0"/>
    <x v="2"/>
    <x v="0"/>
    <x v="1"/>
    <n v="410"/>
    <n v="537"/>
    <n v="682.53"/>
    <n v="495"/>
    <n v="265"/>
    <n v="3"/>
    <s v="Yes"/>
    <n v="6073"/>
    <x v="0"/>
    <n v="279837.3"/>
    <n v="59667.3"/>
    <d v="2025-03-03T00:00:00"/>
    <x v="3"/>
  </r>
  <r>
    <s v="ORD00135"/>
    <d v="2025-08-15T00:00:00"/>
    <x v="3"/>
    <x v="2"/>
    <x v="3"/>
    <x v="9"/>
    <x v="1"/>
    <x v="1"/>
    <n v="128"/>
    <n v="1217"/>
    <n v="1654.06"/>
    <n v="163"/>
    <n v="178"/>
    <n v="7"/>
    <s v="No"/>
    <n v="4156"/>
    <x v="3"/>
    <n v="211719.67999999999"/>
    <n v="55943.68"/>
    <d v="2025-08-15T00:00:00"/>
    <x v="1"/>
  </r>
  <r>
    <s v="ORD00136"/>
    <d v="2025-04-14T00:00:00"/>
    <x v="3"/>
    <x v="0"/>
    <x v="0"/>
    <x v="19"/>
    <x v="2"/>
    <x v="1"/>
    <n v="314"/>
    <n v="2355"/>
    <n v="3141.6"/>
    <n v="1298"/>
    <n v="106"/>
    <n v="2"/>
    <s v="Yes"/>
    <n v="5350"/>
    <x v="1"/>
    <n v="986462.4"/>
    <n v="246992.4"/>
    <d v="2025-04-14T00:00:00"/>
    <x v="8"/>
  </r>
  <r>
    <s v="ORD00137"/>
    <d v="2025-05-03T00:00:00"/>
    <x v="3"/>
    <x v="1"/>
    <x v="3"/>
    <x v="15"/>
    <x v="3"/>
    <x v="0"/>
    <n v="426"/>
    <n v="4695"/>
    <n v="5585.16"/>
    <n v="1383"/>
    <n v="275"/>
    <n v="9"/>
    <s v="No"/>
    <n v="4250"/>
    <x v="1"/>
    <n v="2379278.16"/>
    <n v="379208.16"/>
    <d v="2025-05-03T00:00:00"/>
    <x v="2"/>
  </r>
  <r>
    <s v="ORD00138"/>
    <d v="2025-06-25T00:00:00"/>
    <x v="1"/>
    <x v="3"/>
    <x v="2"/>
    <x v="10"/>
    <x v="1"/>
    <x v="2"/>
    <n v="362"/>
    <n v="1244"/>
    <n v="1797.42"/>
    <n v="1009"/>
    <n v="118"/>
    <n v="4"/>
    <s v="Yes"/>
    <n v="3796"/>
    <x v="1"/>
    <n v="650666.04"/>
    <n v="200338.04"/>
    <d v="2025-06-25T00:00:00"/>
    <x v="7"/>
  </r>
  <r>
    <s v="ORD00139"/>
    <d v="2025-06-25T00:00:00"/>
    <x v="3"/>
    <x v="0"/>
    <x v="0"/>
    <x v="19"/>
    <x v="1"/>
    <x v="0"/>
    <n v="243"/>
    <n v="1682"/>
    <n v="2058.9499999999998"/>
    <n v="763"/>
    <n v="244"/>
    <n v="4"/>
    <s v="Yes"/>
    <n v="4689"/>
    <x v="1"/>
    <n v="500324.85"/>
    <n v="91598.85"/>
    <d v="2025-06-25T00:00:00"/>
    <x v="7"/>
  </r>
  <r>
    <s v="ORD00140"/>
    <d v="2025-07-23T00:00:00"/>
    <x v="2"/>
    <x v="3"/>
    <x v="1"/>
    <x v="12"/>
    <x v="0"/>
    <x v="1"/>
    <n v="59"/>
    <n v="1133"/>
    <n v="1443.01"/>
    <n v="711"/>
    <n v="214"/>
    <n v="9"/>
    <s v="No"/>
    <n v="5288"/>
    <x v="0"/>
    <n v="85137.59"/>
    <n v="18290.59"/>
    <d v="2025-07-23T00:00:00"/>
    <x v="9"/>
  </r>
  <r>
    <s v="ORD00141"/>
    <d v="2025-02-07T00:00:00"/>
    <x v="0"/>
    <x v="3"/>
    <x v="1"/>
    <x v="12"/>
    <x v="0"/>
    <x v="0"/>
    <n v="302"/>
    <n v="4801"/>
    <n v="5672.29"/>
    <n v="842"/>
    <n v="142"/>
    <n v="9"/>
    <s v="No"/>
    <n v="7132"/>
    <x v="0"/>
    <n v="1713031.58"/>
    <n v="263129.58"/>
    <d v="2025-02-07T00:00:00"/>
    <x v="5"/>
  </r>
  <r>
    <s v="ORD00142"/>
    <d v="2025-11-05T00:00:00"/>
    <x v="1"/>
    <x v="3"/>
    <x v="1"/>
    <x v="1"/>
    <x v="2"/>
    <x v="2"/>
    <n v="95"/>
    <n v="3463"/>
    <n v="3995.15"/>
    <n v="1930"/>
    <n v="253"/>
    <n v="7"/>
    <s v="No"/>
    <n v="2028"/>
    <x v="3"/>
    <n v="379539.25"/>
    <n v="50554.25"/>
    <d v="2025-11-05T00:00:00"/>
    <x v="0"/>
  </r>
  <r>
    <s v="ORD00143"/>
    <d v="2025-06-19T00:00:00"/>
    <x v="1"/>
    <x v="1"/>
    <x v="0"/>
    <x v="8"/>
    <x v="2"/>
    <x v="0"/>
    <n v="431"/>
    <n v="2612"/>
    <n v="3694.22"/>
    <n v="301"/>
    <n v="102"/>
    <n v="9"/>
    <s v="No"/>
    <n v="5084"/>
    <x v="1"/>
    <n v="1592208.82"/>
    <n v="466436.82"/>
    <d v="2025-06-19T00:00:00"/>
    <x v="7"/>
  </r>
  <r>
    <s v="ORD00144"/>
    <d v="2025-02-01T00:00:00"/>
    <x v="0"/>
    <x v="4"/>
    <x v="1"/>
    <x v="11"/>
    <x v="2"/>
    <x v="1"/>
    <n v="466"/>
    <n v="1356"/>
    <n v="1946"/>
    <n v="192"/>
    <n v="229"/>
    <n v="10"/>
    <s v="No"/>
    <n v="6690"/>
    <x v="3"/>
    <n v="906836"/>
    <n v="274940"/>
    <d v="2025-02-01T00:00:00"/>
    <x v="5"/>
  </r>
  <r>
    <s v="ORD00145"/>
    <d v="2025-08-16T00:00:00"/>
    <x v="0"/>
    <x v="0"/>
    <x v="2"/>
    <x v="13"/>
    <x v="0"/>
    <x v="2"/>
    <n v="465"/>
    <n v="1053"/>
    <n v="1229.94"/>
    <n v="1692"/>
    <n v="178"/>
    <n v="1"/>
    <s v="Yes"/>
    <n v="1800"/>
    <x v="1"/>
    <n v="571922.1"/>
    <n v="82277.100000000006"/>
    <d v="2025-08-16T00:00:00"/>
    <x v="1"/>
  </r>
  <r>
    <s v="ORD00146"/>
    <d v="2025-09-02T00:00:00"/>
    <x v="0"/>
    <x v="2"/>
    <x v="3"/>
    <x v="15"/>
    <x v="0"/>
    <x v="2"/>
    <n v="57"/>
    <n v="2172"/>
    <n v="2991.36"/>
    <n v="886"/>
    <n v="114"/>
    <n v="2"/>
    <s v="No"/>
    <n v="4978"/>
    <x v="1"/>
    <n v="170507.51999999999"/>
    <n v="46703.519999999997"/>
    <d v="2025-09-02T00:00:00"/>
    <x v="4"/>
  </r>
  <r>
    <s v="ORD00147"/>
    <d v="2025-09-08T00:00:00"/>
    <x v="3"/>
    <x v="0"/>
    <x v="1"/>
    <x v="11"/>
    <x v="3"/>
    <x v="0"/>
    <n v="485"/>
    <n v="3209"/>
    <n v="4071.28"/>
    <n v="810"/>
    <n v="123"/>
    <n v="1"/>
    <s v="Yes"/>
    <n v="6583"/>
    <x v="0"/>
    <n v="1974570.8"/>
    <n v="418205.8"/>
    <d v="2025-09-08T00:00:00"/>
    <x v="4"/>
  </r>
  <r>
    <s v="ORD00148"/>
    <d v="2025-02-27T00:00:00"/>
    <x v="0"/>
    <x v="1"/>
    <x v="3"/>
    <x v="9"/>
    <x v="1"/>
    <x v="0"/>
    <n v="443"/>
    <n v="3094"/>
    <n v="3886.51"/>
    <n v="1104"/>
    <n v="120"/>
    <n v="8"/>
    <s v="No"/>
    <n v="3667"/>
    <x v="2"/>
    <n v="1721723.93"/>
    <n v="351081.93"/>
    <d v="2025-02-27T00:00:00"/>
    <x v="5"/>
  </r>
  <r>
    <s v="ORD00149"/>
    <d v="2025-08-13T00:00:00"/>
    <x v="1"/>
    <x v="4"/>
    <x v="0"/>
    <x v="8"/>
    <x v="3"/>
    <x v="2"/>
    <n v="250"/>
    <n v="4857"/>
    <n v="6627.09"/>
    <n v="1776"/>
    <n v="152"/>
    <n v="9"/>
    <s v="No"/>
    <n v="4203"/>
    <x v="1"/>
    <n v="1656772.5"/>
    <n v="442522.5"/>
    <d v="2025-08-13T00:00:00"/>
    <x v="1"/>
  </r>
  <r>
    <s v="ORD00150"/>
    <d v="2025-09-27T00:00:00"/>
    <x v="2"/>
    <x v="1"/>
    <x v="1"/>
    <x v="12"/>
    <x v="3"/>
    <x v="2"/>
    <n v="321"/>
    <n v="716"/>
    <n v="824.4"/>
    <n v="791"/>
    <n v="265"/>
    <n v="7"/>
    <s v="No"/>
    <n v="1963"/>
    <x v="1"/>
    <n v="264632.40000000002"/>
    <n v="34796.400000000001"/>
    <d v="2025-09-27T00:00:00"/>
    <x v="4"/>
  </r>
  <r>
    <s v="ORD00151"/>
    <d v="2025-04-13T00:00:00"/>
    <x v="1"/>
    <x v="4"/>
    <x v="1"/>
    <x v="11"/>
    <x v="2"/>
    <x v="1"/>
    <n v="295"/>
    <n v="4378"/>
    <n v="5103.54"/>
    <n v="567"/>
    <n v="225"/>
    <n v="7"/>
    <s v="No"/>
    <n v="2911"/>
    <x v="1"/>
    <n v="1505544.3"/>
    <n v="214034.3"/>
    <d v="2025-04-13T00:00:00"/>
    <x v="8"/>
  </r>
  <r>
    <s v="ORD00152"/>
    <d v="2025-05-25T00:00:00"/>
    <x v="0"/>
    <x v="0"/>
    <x v="3"/>
    <x v="14"/>
    <x v="3"/>
    <x v="1"/>
    <n v="153"/>
    <n v="3749"/>
    <n v="4695.8100000000004"/>
    <n v="833"/>
    <n v="235"/>
    <n v="1"/>
    <s v="No"/>
    <n v="5070"/>
    <x v="2"/>
    <n v="718458.93"/>
    <n v="144861.93"/>
    <d v="2025-05-25T00:00:00"/>
    <x v="2"/>
  </r>
  <r>
    <s v="ORD00153"/>
    <d v="2025-03-10T00:00:00"/>
    <x v="0"/>
    <x v="1"/>
    <x v="0"/>
    <x v="19"/>
    <x v="2"/>
    <x v="2"/>
    <n v="302"/>
    <n v="4735"/>
    <n v="5749.36"/>
    <n v="902"/>
    <n v="166"/>
    <n v="7"/>
    <s v="No"/>
    <n v="1272"/>
    <x v="0"/>
    <n v="1736306.72"/>
    <n v="306336.71999999997"/>
    <d v="2025-03-10T00:00:00"/>
    <x v="3"/>
  </r>
  <r>
    <s v="ORD00154"/>
    <d v="2025-01-05T00:00:00"/>
    <x v="1"/>
    <x v="4"/>
    <x v="3"/>
    <x v="15"/>
    <x v="1"/>
    <x v="0"/>
    <n v="351"/>
    <n v="3131"/>
    <n v="3933.51"/>
    <n v="1414"/>
    <n v="219"/>
    <n v="10"/>
    <s v="No"/>
    <n v="2971"/>
    <x v="2"/>
    <n v="1380662.01"/>
    <n v="281681.01"/>
    <d v="2025-01-05T00:00:00"/>
    <x v="6"/>
  </r>
  <r>
    <s v="ORD00155"/>
    <d v="2025-02-26T00:00:00"/>
    <x v="3"/>
    <x v="1"/>
    <x v="0"/>
    <x v="2"/>
    <x v="3"/>
    <x v="2"/>
    <n v="244"/>
    <n v="1378"/>
    <n v="1779.82"/>
    <n v="1550"/>
    <n v="264"/>
    <n v="2"/>
    <s v="Yes"/>
    <n v="7583"/>
    <x v="1"/>
    <n v="434276.08"/>
    <n v="98044.08"/>
    <d v="2025-02-26T00:00:00"/>
    <x v="5"/>
  </r>
  <r>
    <s v="ORD00156"/>
    <d v="2025-04-26T00:00:00"/>
    <x v="1"/>
    <x v="4"/>
    <x v="0"/>
    <x v="2"/>
    <x v="1"/>
    <x v="2"/>
    <n v="393"/>
    <n v="3712"/>
    <n v="5462.75"/>
    <n v="1406"/>
    <n v="217"/>
    <n v="4"/>
    <s v="Yes"/>
    <n v="2294"/>
    <x v="1"/>
    <n v="2146860.75"/>
    <n v="688044.75"/>
    <d v="2025-04-26T00:00:00"/>
    <x v="8"/>
  </r>
  <r>
    <s v="ORD00157"/>
    <d v="2025-06-07T00:00:00"/>
    <x v="2"/>
    <x v="0"/>
    <x v="2"/>
    <x v="5"/>
    <x v="0"/>
    <x v="0"/>
    <n v="328"/>
    <n v="210"/>
    <n v="305.69"/>
    <n v="645"/>
    <n v="208"/>
    <n v="1"/>
    <s v="Yes"/>
    <n v="4354"/>
    <x v="1"/>
    <n v="100266.32"/>
    <n v="31386.32"/>
    <d v="2025-06-07T00:00:00"/>
    <x v="7"/>
  </r>
  <r>
    <s v="ORD00158"/>
    <d v="2025-08-12T00:00:00"/>
    <x v="3"/>
    <x v="1"/>
    <x v="1"/>
    <x v="11"/>
    <x v="0"/>
    <x v="1"/>
    <n v="67"/>
    <n v="224"/>
    <n v="330.11"/>
    <n v="1669"/>
    <n v="244"/>
    <n v="5"/>
    <s v="Yes"/>
    <n v="4812"/>
    <x v="1"/>
    <n v="22117.37"/>
    <n v="7109.37"/>
    <d v="2025-08-12T00:00:00"/>
    <x v="1"/>
  </r>
  <r>
    <s v="ORD00159"/>
    <d v="2025-11-04T00:00:00"/>
    <x v="1"/>
    <x v="1"/>
    <x v="0"/>
    <x v="4"/>
    <x v="1"/>
    <x v="0"/>
    <n v="351"/>
    <n v="4037"/>
    <n v="4879.91"/>
    <n v="1009"/>
    <n v="279"/>
    <n v="5"/>
    <s v="Yes"/>
    <n v="6128"/>
    <x v="1"/>
    <n v="1712848.41"/>
    <n v="295861.40999999997"/>
    <d v="2025-11-04T00:00:00"/>
    <x v="0"/>
  </r>
  <r>
    <s v="ORD00160"/>
    <d v="2025-04-27T00:00:00"/>
    <x v="1"/>
    <x v="0"/>
    <x v="3"/>
    <x v="14"/>
    <x v="0"/>
    <x v="1"/>
    <n v="475"/>
    <n v="3107"/>
    <n v="4280.97"/>
    <n v="1982"/>
    <n v="81"/>
    <n v="10"/>
    <s v="No"/>
    <n v="5841"/>
    <x v="2"/>
    <n v="2033460.75"/>
    <n v="557635.75"/>
    <d v="2025-04-27T00:00:00"/>
    <x v="8"/>
  </r>
  <r>
    <s v="ORD00161"/>
    <d v="2025-02-06T00:00:00"/>
    <x v="2"/>
    <x v="2"/>
    <x v="1"/>
    <x v="12"/>
    <x v="1"/>
    <x v="1"/>
    <n v="271"/>
    <n v="2464"/>
    <n v="3661.04"/>
    <n v="523"/>
    <n v="100"/>
    <n v="6"/>
    <s v="No"/>
    <n v="4942"/>
    <x v="1"/>
    <n v="992141.84"/>
    <n v="324397.84000000003"/>
    <d v="2025-02-06T00:00:00"/>
    <x v="5"/>
  </r>
  <r>
    <s v="ORD00162"/>
    <d v="2025-10-07T00:00:00"/>
    <x v="2"/>
    <x v="1"/>
    <x v="2"/>
    <x v="13"/>
    <x v="2"/>
    <x v="1"/>
    <n v="303"/>
    <n v="3728"/>
    <n v="5043.9399999999996"/>
    <n v="1035"/>
    <n v="109"/>
    <n v="2"/>
    <s v="Yes"/>
    <n v="7067"/>
    <x v="1"/>
    <n v="1528313.82"/>
    <n v="398729.82"/>
    <d v="2025-10-07T00:00:00"/>
    <x v="11"/>
  </r>
  <r>
    <s v="ORD00163"/>
    <d v="2025-02-08T00:00:00"/>
    <x v="3"/>
    <x v="1"/>
    <x v="0"/>
    <x v="0"/>
    <x v="0"/>
    <x v="1"/>
    <n v="375"/>
    <n v="168"/>
    <n v="202.67"/>
    <n v="744"/>
    <n v="228"/>
    <n v="8"/>
    <s v="No"/>
    <n v="7982"/>
    <x v="3"/>
    <n v="76001.25"/>
    <n v="13001.25"/>
    <d v="2025-02-08T00:00:00"/>
    <x v="5"/>
  </r>
  <r>
    <s v="ORD00164"/>
    <d v="2025-06-09T00:00:00"/>
    <x v="2"/>
    <x v="4"/>
    <x v="2"/>
    <x v="17"/>
    <x v="1"/>
    <x v="1"/>
    <n v="408"/>
    <n v="2121"/>
    <n v="2995.13"/>
    <n v="1118"/>
    <n v="224"/>
    <n v="5"/>
    <s v="Yes"/>
    <n v="2862"/>
    <x v="1"/>
    <n v="1222013.04"/>
    <n v="356645.04"/>
    <d v="2025-06-09T00:00:00"/>
    <x v="7"/>
  </r>
  <r>
    <s v="ORD00165"/>
    <d v="2025-05-17T00:00:00"/>
    <x v="0"/>
    <x v="2"/>
    <x v="3"/>
    <x v="16"/>
    <x v="2"/>
    <x v="0"/>
    <n v="496"/>
    <n v="4082"/>
    <n v="4983.99"/>
    <n v="86"/>
    <n v="103"/>
    <n v="6"/>
    <s v="No"/>
    <n v="4916"/>
    <x v="2"/>
    <n v="2472059.04"/>
    <n v="447387.04"/>
    <d v="2025-05-17T00:00:00"/>
    <x v="2"/>
  </r>
  <r>
    <s v="ORD00166"/>
    <d v="2025-12-24T00:00:00"/>
    <x v="0"/>
    <x v="1"/>
    <x v="1"/>
    <x v="11"/>
    <x v="3"/>
    <x v="1"/>
    <n v="187"/>
    <n v="2389"/>
    <n v="2761.41"/>
    <n v="870"/>
    <n v="228"/>
    <n v="6"/>
    <s v="No"/>
    <n v="2921"/>
    <x v="1"/>
    <n v="516383.67"/>
    <n v="69640.67"/>
    <d v="2025-12-24T00:00:00"/>
    <x v="10"/>
  </r>
  <r>
    <s v="ORD00167"/>
    <d v="2025-01-24T00:00:00"/>
    <x v="2"/>
    <x v="4"/>
    <x v="0"/>
    <x v="19"/>
    <x v="2"/>
    <x v="2"/>
    <n v="366"/>
    <n v="121"/>
    <n v="150.77000000000001"/>
    <n v="1262"/>
    <n v="87"/>
    <n v="9"/>
    <s v="No"/>
    <n v="4550"/>
    <x v="2"/>
    <n v="55181.82"/>
    <n v="10895.82"/>
    <d v="2025-01-24T00:00:00"/>
    <x v="6"/>
  </r>
  <r>
    <s v="ORD00168"/>
    <d v="2025-05-13T00:00:00"/>
    <x v="1"/>
    <x v="1"/>
    <x v="2"/>
    <x v="13"/>
    <x v="1"/>
    <x v="0"/>
    <n v="163"/>
    <n v="1522"/>
    <n v="1845.28"/>
    <n v="788"/>
    <n v="119"/>
    <n v="6"/>
    <s v="No"/>
    <n v="4713"/>
    <x v="1"/>
    <n v="300780.64"/>
    <n v="52694.64"/>
    <d v="2025-05-13T00:00:00"/>
    <x v="2"/>
  </r>
  <r>
    <s v="ORD00169"/>
    <d v="2025-12-26T00:00:00"/>
    <x v="2"/>
    <x v="1"/>
    <x v="3"/>
    <x v="9"/>
    <x v="0"/>
    <x v="2"/>
    <n v="193"/>
    <n v="1355"/>
    <n v="1779.28"/>
    <n v="642"/>
    <n v="178"/>
    <n v="10"/>
    <s v="No"/>
    <n v="3562"/>
    <x v="1"/>
    <n v="343401.04"/>
    <n v="81886.039999999994"/>
    <d v="2025-12-26T00:00:00"/>
    <x v="10"/>
  </r>
  <r>
    <s v="ORD00170"/>
    <d v="2025-09-11T00:00:00"/>
    <x v="2"/>
    <x v="1"/>
    <x v="0"/>
    <x v="0"/>
    <x v="2"/>
    <x v="0"/>
    <n v="124"/>
    <n v="3515"/>
    <n v="4815.29"/>
    <n v="1091"/>
    <n v="124"/>
    <n v="4"/>
    <s v="Yes"/>
    <n v="2857"/>
    <x v="1"/>
    <n v="597095.96"/>
    <n v="161235.96"/>
    <d v="2025-09-11T00:00:00"/>
    <x v="4"/>
  </r>
  <r>
    <s v="ORD00171"/>
    <d v="2025-05-09T00:00:00"/>
    <x v="2"/>
    <x v="4"/>
    <x v="0"/>
    <x v="19"/>
    <x v="2"/>
    <x v="0"/>
    <n v="177"/>
    <n v="545"/>
    <n v="659.64"/>
    <n v="860"/>
    <n v="86"/>
    <n v="10"/>
    <s v="No"/>
    <n v="7649"/>
    <x v="3"/>
    <n v="116756.28"/>
    <n v="20291.28"/>
    <d v="2025-05-09T00:00:00"/>
    <x v="2"/>
  </r>
  <r>
    <s v="ORD00172"/>
    <d v="2025-12-16T00:00:00"/>
    <x v="2"/>
    <x v="4"/>
    <x v="1"/>
    <x v="11"/>
    <x v="1"/>
    <x v="0"/>
    <n v="397"/>
    <n v="2986"/>
    <n v="3666.05"/>
    <n v="1334"/>
    <n v="205"/>
    <n v="4"/>
    <s v="Yes"/>
    <n v="2384"/>
    <x v="1"/>
    <n v="1455421.85"/>
    <n v="269979.84999999998"/>
    <d v="2025-12-16T00:00:00"/>
    <x v="10"/>
  </r>
  <r>
    <s v="ORD00173"/>
    <d v="2025-10-23T00:00:00"/>
    <x v="0"/>
    <x v="1"/>
    <x v="0"/>
    <x v="2"/>
    <x v="2"/>
    <x v="2"/>
    <n v="263"/>
    <n v="849"/>
    <n v="1225.5899999999999"/>
    <n v="1173"/>
    <n v="113"/>
    <n v="4"/>
    <s v="Yes"/>
    <n v="4077"/>
    <x v="1"/>
    <n v="322330.17"/>
    <n v="99043.17"/>
    <d v="2025-10-23T00:00:00"/>
    <x v="11"/>
  </r>
  <r>
    <s v="ORD00174"/>
    <d v="2025-10-30T00:00:00"/>
    <x v="0"/>
    <x v="2"/>
    <x v="1"/>
    <x v="12"/>
    <x v="0"/>
    <x v="2"/>
    <n v="82"/>
    <n v="3274"/>
    <n v="4408.72"/>
    <n v="1015"/>
    <n v="145"/>
    <n v="2"/>
    <s v="Yes"/>
    <n v="6141"/>
    <x v="1"/>
    <n v="361515.04"/>
    <n v="93047.039999999994"/>
    <d v="2025-10-30T00:00:00"/>
    <x v="11"/>
  </r>
  <r>
    <s v="ORD00175"/>
    <d v="2025-07-14T00:00:00"/>
    <x v="1"/>
    <x v="3"/>
    <x v="3"/>
    <x v="6"/>
    <x v="3"/>
    <x v="2"/>
    <n v="93"/>
    <n v="3763"/>
    <n v="5101.32"/>
    <n v="786"/>
    <n v="270"/>
    <n v="5"/>
    <s v="Yes"/>
    <n v="4037"/>
    <x v="1"/>
    <n v="474422.76"/>
    <n v="124463.76"/>
    <d v="2025-07-14T00:00:00"/>
    <x v="9"/>
  </r>
  <r>
    <s v="ORD00176"/>
    <d v="2025-03-11T00:00:00"/>
    <x v="3"/>
    <x v="1"/>
    <x v="1"/>
    <x v="7"/>
    <x v="2"/>
    <x v="1"/>
    <n v="347"/>
    <n v="3814"/>
    <n v="5205.9399999999996"/>
    <n v="661"/>
    <n v="226"/>
    <n v="6"/>
    <s v="No"/>
    <n v="6977"/>
    <x v="3"/>
    <n v="1806461.18"/>
    <n v="483003.18"/>
    <d v="2025-03-11T00:00:00"/>
    <x v="3"/>
  </r>
  <r>
    <s v="ORD00177"/>
    <d v="2025-01-12T00:00:00"/>
    <x v="2"/>
    <x v="1"/>
    <x v="3"/>
    <x v="6"/>
    <x v="1"/>
    <x v="1"/>
    <n v="394"/>
    <n v="187"/>
    <n v="237.54"/>
    <n v="1859"/>
    <n v="81"/>
    <n v="3"/>
    <s v="Yes"/>
    <n v="1776"/>
    <x v="1"/>
    <n v="93590.76"/>
    <n v="19912.759999999998"/>
    <d v="2025-01-12T00:00:00"/>
    <x v="6"/>
  </r>
  <r>
    <s v="ORD00178"/>
    <d v="2025-05-13T00:00:00"/>
    <x v="2"/>
    <x v="0"/>
    <x v="2"/>
    <x v="13"/>
    <x v="0"/>
    <x v="1"/>
    <n v="42"/>
    <n v="3092"/>
    <n v="4606.13"/>
    <n v="124"/>
    <n v="166"/>
    <n v="7"/>
    <s v="No"/>
    <n v="6654"/>
    <x v="3"/>
    <n v="193457.46"/>
    <n v="63593.46"/>
    <d v="2025-05-13T00:00:00"/>
    <x v="2"/>
  </r>
  <r>
    <s v="ORD00179"/>
    <d v="2025-03-31T00:00:00"/>
    <x v="3"/>
    <x v="0"/>
    <x v="0"/>
    <x v="2"/>
    <x v="1"/>
    <x v="2"/>
    <n v="57"/>
    <n v="2788"/>
    <n v="3955.88"/>
    <n v="908"/>
    <n v="287"/>
    <n v="4"/>
    <s v="Yes"/>
    <n v="1188"/>
    <x v="0"/>
    <n v="225485.16"/>
    <n v="66569.16"/>
    <d v="2025-03-31T00:00:00"/>
    <x v="3"/>
  </r>
  <r>
    <s v="ORD00180"/>
    <d v="2025-08-14T00:00:00"/>
    <x v="3"/>
    <x v="1"/>
    <x v="1"/>
    <x v="3"/>
    <x v="1"/>
    <x v="0"/>
    <n v="390"/>
    <n v="1750"/>
    <n v="2332.96"/>
    <n v="1373"/>
    <n v="146"/>
    <n v="7"/>
    <s v="No"/>
    <n v="5856"/>
    <x v="1"/>
    <n v="909854.4"/>
    <n v="227354.4"/>
    <d v="2025-08-14T00:00:00"/>
    <x v="1"/>
  </r>
  <r>
    <s v="ORD00181"/>
    <d v="2025-02-04T00:00:00"/>
    <x v="3"/>
    <x v="0"/>
    <x v="0"/>
    <x v="19"/>
    <x v="0"/>
    <x v="1"/>
    <n v="212"/>
    <n v="4768"/>
    <n v="6572.78"/>
    <n v="1333"/>
    <n v="204"/>
    <n v="4"/>
    <s v="Yes"/>
    <n v="1052"/>
    <x v="0"/>
    <n v="1393429.36"/>
    <n v="382613.36"/>
    <d v="2025-02-04T00:00:00"/>
    <x v="5"/>
  </r>
  <r>
    <s v="ORD00182"/>
    <d v="2025-12-07T00:00:00"/>
    <x v="1"/>
    <x v="2"/>
    <x v="0"/>
    <x v="2"/>
    <x v="3"/>
    <x v="0"/>
    <n v="333"/>
    <n v="2548"/>
    <n v="3409.98"/>
    <n v="124"/>
    <n v="225"/>
    <n v="9"/>
    <s v="No"/>
    <n v="4828"/>
    <x v="1"/>
    <n v="1135523.3400000001"/>
    <n v="287039.34000000003"/>
    <d v="2025-12-07T00:00:00"/>
    <x v="10"/>
  </r>
  <r>
    <s v="ORD00183"/>
    <d v="2025-04-07T00:00:00"/>
    <x v="3"/>
    <x v="4"/>
    <x v="3"/>
    <x v="9"/>
    <x v="2"/>
    <x v="0"/>
    <n v="342"/>
    <n v="442"/>
    <n v="570.19000000000005"/>
    <n v="228"/>
    <n v="110"/>
    <n v="8"/>
    <s v="No"/>
    <n v="5142"/>
    <x v="3"/>
    <n v="195004.98"/>
    <n v="43840.98"/>
    <d v="2025-04-07T00:00:00"/>
    <x v="8"/>
  </r>
  <r>
    <s v="ORD00184"/>
    <d v="2025-07-03T00:00:00"/>
    <x v="3"/>
    <x v="2"/>
    <x v="2"/>
    <x v="13"/>
    <x v="1"/>
    <x v="1"/>
    <n v="323"/>
    <n v="1680"/>
    <n v="2036.6"/>
    <n v="1355"/>
    <n v="180"/>
    <n v="9"/>
    <s v="No"/>
    <n v="3398"/>
    <x v="3"/>
    <n v="657821.80000000005"/>
    <n v="115181.8"/>
    <d v="2025-07-03T00:00:00"/>
    <x v="9"/>
  </r>
  <r>
    <s v="ORD00185"/>
    <d v="2025-01-21T00:00:00"/>
    <x v="3"/>
    <x v="3"/>
    <x v="3"/>
    <x v="9"/>
    <x v="0"/>
    <x v="0"/>
    <n v="341"/>
    <n v="598"/>
    <n v="882.17"/>
    <n v="592"/>
    <n v="193"/>
    <n v="8"/>
    <s v="No"/>
    <n v="6399"/>
    <x v="2"/>
    <n v="300819.96999999997"/>
    <n v="96901.97"/>
    <d v="2025-01-21T00:00:00"/>
    <x v="6"/>
  </r>
  <r>
    <s v="ORD00186"/>
    <d v="2025-01-02T00:00:00"/>
    <x v="2"/>
    <x v="4"/>
    <x v="2"/>
    <x v="13"/>
    <x v="0"/>
    <x v="2"/>
    <n v="476"/>
    <n v="1912"/>
    <n v="2419.39"/>
    <n v="1026"/>
    <n v="289"/>
    <n v="9"/>
    <s v="No"/>
    <n v="2315"/>
    <x v="1"/>
    <n v="1151629.6399999999"/>
    <n v="241517.64"/>
    <d v="2025-01-02T00:00:00"/>
    <x v="6"/>
  </r>
  <r>
    <s v="ORD00187"/>
    <d v="2025-12-14T00:00:00"/>
    <x v="3"/>
    <x v="4"/>
    <x v="2"/>
    <x v="18"/>
    <x v="3"/>
    <x v="0"/>
    <n v="207"/>
    <n v="4270"/>
    <n v="4944.08"/>
    <n v="942"/>
    <n v="182"/>
    <n v="2"/>
    <s v="No"/>
    <n v="744"/>
    <x v="0"/>
    <n v="1023424.56"/>
    <n v="139534.56"/>
    <d v="2025-12-14T00:00:00"/>
    <x v="10"/>
  </r>
  <r>
    <s v="ORD00188"/>
    <d v="2025-01-17T00:00:00"/>
    <x v="0"/>
    <x v="2"/>
    <x v="3"/>
    <x v="15"/>
    <x v="2"/>
    <x v="0"/>
    <n v="232"/>
    <n v="2125"/>
    <n v="2868.74"/>
    <n v="1333"/>
    <n v="112"/>
    <n v="9"/>
    <s v="No"/>
    <n v="3627"/>
    <x v="1"/>
    <n v="665547.68000000005"/>
    <n v="172547.68"/>
    <d v="2025-01-17T00:00:00"/>
    <x v="6"/>
  </r>
  <r>
    <s v="ORD00189"/>
    <d v="2025-12-17T00:00:00"/>
    <x v="2"/>
    <x v="4"/>
    <x v="2"/>
    <x v="5"/>
    <x v="1"/>
    <x v="0"/>
    <n v="238"/>
    <n v="3476"/>
    <n v="5099.5600000000004"/>
    <n v="582"/>
    <n v="158"/>
    <n v="4"/>
    <s v="Yes"/>
    <n v="5635"/>
    <x v="0"/>
    <n v="1213695.28"/>
    <n v="386407.28"/>
    <d v="2025-12-17T00:00:00"/>
    <x v="10"/>
  </r>
  <r>
    <s v="ORD00190"/>
    <d v="2025-04-29T00:00:00"/>
    <x v="3"/>
    <x v="0"/>
    <x v="1"/>
    <x v="11"/>
    <x v="2"/>
    <x v="0"/>
    <n v="344"/>
    <n v="4313"/>
    <n v="5475.18"/>
    <n v="57"/>
    <n v="183"/>
    <n v="3"/>
    <s v="Yes"/>
    <n v="1644"/>
    <x v="0"/>
    <n v="1883461.92"/>
    <n v="399789.92"/>
    <d v="2025-04-29T00:00:00"/>
    <x v="8"/>
  </r>
  <r>
    <s v="ORD00191"/>
    <d v="2025-07-18T00:00:00"/>
    <x v="1"/>
    <x v="4"/>
    <x v="1"/>
    <x v="7"/>
    <x v="3"/>
    <x v="0"/>
    <n v="460"/>
    <n v="3094"/>
    <n v="3630.9"/>
    <n v="240"/>
    <n v="290"/>
    <n v="10"/>
    <s v="No"/>
    <n v="4382"/>
    <x v="3"/>
    <n v="1670214"/>
    <n v="246974"/>
    <d v="2025-07-18T00:00:00"/>
    <x v="9"/>
  </r>
  <r>
    <s v="ORD00192"/>
    <d v="2025-07-31T00:00:00"/>
    <x v="3"/>
    <x v="0"/>
    <x v="2"/>
    <x v="18"/>
    <x v="1"/>
    <x v="1"/>
    <n v="122"/>
    <n v="3924"/>
    <n v="5440.55"/>
    <n v="239"/>
    <n v="141"/>
    <n v="5"/>
    <s v="Yes"/>
    <n v="4499"/>
    <x v="1"/>
    <n v="663747.1"/>
    <n v="185019.1"/>
    <d v="2025-07-31T00:00:00"/>
    <x v="9"/>
  </r>
  <r>
    <s v="ORD00193"/>
    <d v="2025-07-26T00:00:00"/>
    <x v="2"/>
    <x v="0"/>
    <x v="2"/>
    <x v="17"/>
    <x v="2"/>
    <x v="1"/>
    <n v="209"/>
    <n v="2822"/>
    <n v="3437.64"/>
    <n v="922"/>
    <n v="290"/>
    <n v="10"/>
    <s v="No"/>
    <n v="2940"/>
    <x v="2"/>
    <n v="718466.76"/>
    <n v="128668.76"/>
    <d v="2025-07-26T00:00:00"/>
    <x v="9"/>
  </r>
  <r>
    <s v="ORD00194"/>
    <d v="2025-04-18T00:00:00"/>
    <x v="1"/>
    <x v="1"/>
    <x v="1"/>
    <x v="12"/>
    <x v="3"/>
    <x v="2"/>
    <n v="161"/>
    <n v="489"/>
    <n v="686.96"/>
    <n v="592"/>
    <n v="138"/>
    <n v="9"/>
    <s v="No"/>
    <n v="4646"/>
    <x v="2"/>
    <n v="110600.56"/>
    <n v="31871.56"/>
    <d v="2025-04-18T00:00:00"/>
    <x v="8"/>
  </r>
  <r>
    <s v="ORD00195"/>
    <d v="2025-05-31T00:00:00"/>
    <x v="2"/>
    <x v="1"/>
    <x v="0"/>
    <x v="19"/>
    <x v="3"/>
    <x v="0"/>
    <n v="288"/>
    <n v="3313"/>
    <n v="4961.96"/>
    <n v="440"/>
    <n v="126"/>
    <n v="10"/>
    <s v="No"/>
    <n v="786"/>
    <x v="2"/>
    <n v="1429044.48"/>
    <n v="474900.47999999998"/>
    <d v="2025-05-31T00:00:00"/>
    <x v="2"/>
  </r>
  <r>
    <s v="ORD00196"/>
    <d v="2025-02-06T00:00:00"/>
    <x v="0"/>
    <x v="4"/>
    <x v="3"/>
    <x v="9"/>
    <x v="0"/>
    <x v="0"/>
    <n v="133"/>
    <n v="1895"/>
    <n v="2595.6"/>
    <n v="107"/>
    <n v="99"/>
    <n v="4"/>
    <s v="Yes"/>
    <n v="1074"/>
    <x v="1"/>
    <n v="345214.8"/>
    <n v="93179.8"/>
    <d v="2025-02-06T00:00:00"/>
    <x v="5"/>
  </r>
  <r>
    <s v="ORD00197"/>
    <d v="2025-07-31T00:00:00"/>
    <x v="2"/>
    <x v="2"/>
    <x v="2"/>
    <x v="18"/>
    <x v="2"/>
    <x v="0"/>
    <n v="28"/>
    <n v="3286"/>
    <n v="3817.03"/>
    <n v="1794"/>
    <n v="89"/>
    <n v="8"/>
    <s v="No"/>
    <n v="2656"/>
    <x v="3"/>
    <n v="106876.84"/>
    <n v="14868.84"/>
    <d v="2025-07-31T00:00:00"/>
    <x v="9"/>
  </r>
  <r>
    <s v="ORD00198"/>
    <d v="2025-01-01T00:00:00"/>
    <x v="1"/>
    <x v="1"/>
    <x v="2"/>
    <x v="5"/>
    <x v="0"/>
    <x v="2"/>
    <n v="482"/>
    <n v="826"/>
    <n v="1174.31"/>
    <n v="1268"/>
    <n v="140"/>
    <n v="1"/>
    <s v="Yes"/>
    <n v="5112"/>
    <x v="0"/>
    <n v="566017.42000000004"/>
    <n v="167885.42"/>
    <d v="2025-01-01T00:00:00"/>
    <x v="6"/>
  </r>
  <r>
    <s v="ORD00199"/>
    <d v="2025-07-27T00:00:00"/>
    <x v="1"/>
    <x v="0"/>
    <x v="0"/>
    <x v="0"/>
    <x v="3"/>
    <x v="0"/>
    <n v="44"/>
    <n v="1664"/>
    <n v="1963.8"/>
    <n v="1468"/>
    <n v="102"/>
    <n v="5"/>
    <s v="Yes"/>
    <n v="5508"/>
    <x v="1"/>
    <n v="86407.2"/>
    <n v="13191.2"/>
    <d v="2025-07-27T00:00:00"/>
    <x v="9"/>
  </r>
  <r>
    <s v="ORD00200"/>
    <d v="2025-05-30T00:00:00"/>
    <x v="3"/>
    <x v="1"/>
    <x v="0"/>
    <x v="4"/>
    <x v="3"/>
    <x v="1"/>
    <n v="445"/>
    <n v="796"/>
    <n v="995.78"/>
    <n v="1220"/>
    <n v="147"/>
    <n v="1"/>
    <s v="Yes"/>
    <n v="3581"/>
    <x v="1"/>
    <n v="443122.1"/>
    <n v="88902.1"/>
    <d v="2025-05-30T00:00:00"/>
    <x v="2"/>
  </r>
  <r>
    <s v="ORD00201"/>
    <d v="2025-01-06T00:00:00"/>
    <x v="1"/>
    <x v="4"/>
    <x v="0"/>
    <x v="2"/>
    <x v="2"/>
    <x v="1"/>
    <n v="499"/>
    <n v="1053"/>
    <n v="1519.41"/>
    <n v="782"/>
    <n v="290"/>
    <n v="2"/>
    <s v="No"/>
    <n v="1826"/>
    <x v="0"/>
    <n v="758185.59"/>
    <n v="232738.59"/>
    <d v="2025-01-06T00:00:00"/>
    <x v="6"/>
  </r>
  <r>
    <s v="ORD00202"/>
    <d v="2025-02-26T00:00:00"/>
    <x v="0"/>
    <x v="3"/>
    <x v="1"/>
    <x v="11"/>
    <x v="0"/>
    <x v="1"/>
    <n v="90"/>
    <n v="1980"/>
    <n v="2824.83"/>
    <n v="727"/>
    <n v="299"/>
    <n v="7"/>
    <s v="No"/>
    <n v="2705"/>
    <x v="1"/>
    <n v="254234.7"/>
    <n v="76034.7"/>
    <d v="2025-02-26T00:00:00"/>
    <x v="5"/>
  </r>
  <r>
    <s v="ORD00203"/>
    <d v="2025-12-30T00:00:00"/>
    <x v="2"/>
    <x v="3"/>
    <x v="1"/>
    <x v="1"/>
    <x v="0"/>
    <x v="2"/>
    <n v="254"/>
    <n v="3497"/>
    <n v="5235.8599999999997"/>
    <n v="466"/>
    <n v="252"/>
    <n v="8"/>
    <s v="No"/>
    <n v="3283"/>
    <x v="3"/>
    <n v="1329908.44"/>
    <n v="441670.44"/>
    <d v="2025-12-30T00:00:00"/>
    <x v="10"/>
  </r>
  <r>
    <s v="ORD00204"/>
    <d v="2025-07-22T00:00:00"/>
    <x v="0"/>
    <x v="3"/>
    <x v="3"/>
    <x v="15"/>
    <x v="1"/>
    <x v="1"/>
    <n v="287"/>
    <n v="2064"/>
    <n v="3055.22"/>
    <n v="1576"/>
    <n v="281"/>
    <n v="7"/>
    <s v="No"/>
    <n v="7127"/>
    <x v="2"/>
    <n v="876848.14"/>
    <n v="284480.14"/>
    <d v="2025-07-22T00:00:00"/>
    <x v="9"/>
  </r>
  <r>
    <s v="ORD00205"/>
    <d v="2025-02-15T00:00:00"/>
    <x v="3"/>
    <x v="3"/>
    <x v="3"/>
    <x v="16"/>
    <x v="3"/>
    <x v="0"/>
    <n v="408"/>
    <n v="292"/>
    <n v="385.41"/>
    <n v="402"/>
    <n v="296"/>
    <n v="9"/>
    <s v="No"/>
    <n v="3595"/>
    <x v="1"/>
    <n v="157247.28"/>
    <n v="38111.279999999999"/>
    <d v="2025-02-15T00:00:00"/>
    <x v="5"/>
  </r>
  <r>
    <s v="ORD00206"/>
    <d v="2025-04-16T00:00:00"/>
    <x v="1"/>
    <x v="4"/>
    <x v="1"/>
    <x v="3"/>
    <x v="1"/>
    <x v="2"/>
    <n v="480"/>
    <n v="2669"/>
    <n v="3212.93"/>
    <n v="1602"/>
    <n v="194"/>
    <n v="5"/>
    <s v="No"/>
    <n v="3654"/>
    <x v="2"/>
    <n v="1542206.4"/>
    <n v="261086.4"/>
    <d v="2025-04-16T00:00:00"/>
    <x v="8"/>
  </r>
  <r>
    <s v="ORD00207"/>
    <d v="2025-04-06T00:00:00"/>
    <x v="1"/>
    <x v="2"/>
    <x v="1"/>
    <x v="7"/>
    <x v="1"/>
    <x v="2"/>
    <n v="131"/>
    <n v="1181"/>
    <n v="1616.6"/>
    <n v="1883"/>
    <n v="208"/>
    <n v="8"/>
    <s v="No"/>
    <n v="2813"/>
    <x v="0"/>
    <n v="211774.6"/>
    <n v="57063.6"/>
    <d v="2025-04-06T00:00:00"/>
    <x v="8"/>
  </r>
  <r>
    <s v="ORD00208"/>
    <d v="2025-09-14T00:00:00"/>
    <x v="2"/>
    <x v="4"/>
    <x v="0"/>
    <x v="4"/>
    <x v="3"/>
    <x v="2"/>
    <n v="48"/>
    <n v="1631"/>
    <n v="2088.2600000000002"/>
    <n v="498"/>
    <n v="211"/>
    <n v="5"/>
    <s v="Yes"/>
    <n v="1325"/>
    <x v="1"/>
    <n v="100236.48"/>
    <n v="21948.48"/>
    <d v="2025-09-14T00:00:00"/>
    <x v="4"/>
  </r>
  <r>
    <s v="ORD00209"/>
    <d v="2025-06-10T00:00:00"/>
    <x v="1"/>
    <x v="2"/>
    <x v="1"/>
    <x v="3"/>
    <x v="2"/>
    <x v="1"/>
    <n v="14"/>
    <n v="1943"/>
    <n v="2868.99"/>
    <n v="1751"/>
    <n v="143"/>
    <n v="3"/>
    <s v="Yes"/>
    <n v="7226"/>
    <x v="1"/>
    <n v="40165.86"/>
    <n v="12963.86"/>
    <d v="2025-06-10T00:00:00"/>
    <x v="7"/>
  </r>
  <r>
    <s v="ORD00210"/>
    <d v="2025-04-28T00:00:00"/>
    <x v="0"/>
    <x v="0"/>
    <x v="3"/>
    <x v="15"/>
    <x v="3"/>
    <x v="2"/>
    <n v="413"/>
    <n v="2270"/>
    <n v="3002.26"/>
    <n v="1186"/>
    <n v="91"/>
    <n v="5"/>
    <s v="Yes"/>
    <n v="3291"/>
    <x v="1"/>
    <n v="1239933.3799999999"/>
    <n v="302423.38"/>
    <d v="2025-04-28T00:00:00"/>
    <x v="8"/>
  </r>
  <r>
    <s v="ORD00211"/>
    <d v="2025-11-26T00:00:00"/>
    <x v="2"/>
    <x v="3"/>
    <x v="1"/>
    <x v="3"/>
    <x v="3"/>
    <x v="2"/>
    <n v="14"/>
    <n v="479"/>
    <n v="608.32000000000005"/>
    <n v="826"/>
    <n v="101"/>
    <n v="9"/>
    <s v="No"/>
    <n v="5972"/>
    <x v="1"/>
    <n v="8516.48"/>
    <n v="1810.48"/>
    <d v="2025-11-26T00:00:00"/>
    <x v="0"/>
  </r>
  <r>
    <s v="ORD00212"/>
    <d v="2025-08-26T00:00:00"/>
    <x v="1"/>
    <x v="2"/>
    <x v="3"/>
    <x v="15"/>
    <x v="0"/>
    <x v="0"/>
    <n v="496"/>
    <n v="1375"/>
    <n v="1889.27"/>
    <n v="1549"/>
    <n v="250"/>
    <n v="8"/>
    <s v="No"/>
    <n v="1242"/>
    <x v="0"/>
    <n v="937077.92"/>
    <n v="255077.92"/>
    <d v="2025-08-26T00:00:00"/>
    <x v="1"/>
  </r>
  <r>
    <s v="ORD00213"/>
    <d v="2025-09-23T00:00:00"/>
    <x v="0"/>
    <x v="3"/>
    <x v="3"/>
    <x v="6"/>
    <x v="2"/>
    <x v="1"/>
    <n v="498"/>
    <n v="2686"/>
    <n v="3574.19"/>
    <n v="1849"/>
    <n v="235"/>
    <n v="4"/>
    <s v="No"/>
    <n v="3688"/>
    <x v="1"/>
    <n v="1779946.62"/>
    <n v="442318.62"/>
    <d v="2025-09-23T00:00:00"/>
    <x v="4"/>
  </r>
  <r>
    <s v="ORD00214"/>
    <d v="2025-06-19T00:00:00"/>
    <x v="0"/>
    <x v="2"/>
    <x v="2"/>
    <x v="17"/>
    <x v="3"/>
    <x v="0"/>
    <n v="79"/>
    <n v="978"/>
    <n v="1225.3900000000001"/>
    <n v="661"/>
    <n v="262"/>
    <n v="2"/>
    <s v="Yes"/>
    <n v="7410"/>
    <x v="1"/>
    <n v="96805.81"/>
    <n v="19543.810000000001"/>
    <d v="2025-06-19T00:00:00"/>
    <x v="7"/>
  </r>
  <r>
    <s v="ORD00215"/>
    <d v="2025-09-07T00:00:00"/>
    <x v="1"/>
    <x v="2"/>
    <x v="2"/>
    <x v="10"/>
    <x v="1"/>
    <x v="0"/>
    <n v="407"/>
    <n v="1479"/>
    <n v="1913.31"/>
    <n v="789"/>
    <n v="137"/>
    <n v="6"/>
    <s v="No"/>
    <n v="5283"/>
    <x v="1"/>
    <n v="778717.17"/>
    <n v="176764.17"/>
    <d v="2025-09-07T00:00:00"/>
    <x v="4"/>
  </r>
  <r>
    <s v="ORD00216"/>
    <d v="2025-08-23T00:00:00"/>
    <x v="0"/>
    <x v="0"/>
    <x v="2"/>
    <x v="17"/>
    <x v="1"/>
    <x v="0"/>
    <n v="19"/>
    <n v="3300"/>
    <n v="4577.95"/>
    <n v="1697"/>
    <n v="183"/>
    <n v="9"/>
    <s v="No"/>
    <n v="2157"/>
    <x v="0"/>
    <n v="86981.05"/>
    <n v="24281.05"/>
    <d v="2025-08-23T00:00:00"/>
    <x v="1"/>
  </r>
  <r>
    <s v="ORD00217"/>
    <d v="2025-03-19T00:00:00"/>
    <x v="0"/>
    <x v="3"/>
    <x v="0"/>
    <x v="19"/>
    <x v="0"/>
    <x v="0"/>
    <n v="259"/>
    <n v="3339"/>
    <n v="4978.08"/>
    <n v="113"/>
    <n v="154"/>
    <n v="3"/>
    <s v="Yes"/>
    <n v="3052"/>
    <x v="1"/>
    <n v="1289322.72"/>
    <n v="424521.72"/>
    <d v="2025-03-19T00:00:00"/>
    <x v="3"/>
  </r>
  <r>
    <s v="ORD00218"/>
    <d v="2025-03-18T00:00:00"/>
    <x v="0"/>
    <x v="0"/>
    <x v="2"/>
    <x v="18"/>
    <x v="0"/>
    <x v="2"/>
    <n v="34"/>
    <n v="3854"/>
    <n v="4789.6099999999997"/>
    <n v="472"/>
    <n v="93"/>
    <n v="9"/>
    <s v="No"/>
    <n v="784"/>
    <x v="3"/>
    <n v="162846.74"/>
    <n v="31810.74"/>
    <d v="2025-03-18T00:00:00"/>
    <x v="3"/>
  </r>
  <r>
    <s v="ORD00219"/>
    <d v="2025-06-13T00:00:00"/>
    <x v="0"/>
    <x v="4"/>
    <x v="1"/>
    <x v="3"/>
    <x v="0"/>
    <x v="2"/>
    <n v="249"/>
    <n v="1841"/>
    <n v="2315.42"/>
    <n v="1726"/>
    <n v="152"/>
    <n v="3"/>
    <s v="No"/>
    <n v="6103"/>
    <x v="0"/>
    <n v="576539.57999999996"/>
    <n v="118130.58"/>
    <d v="2025-06-13T00:00:00"/>
    <x v="7"/>
  </r>
  <r>
    <s v="ORD00220"/>
    <d v="2025-09-25T00:00:00"/>
    <x v="3"/>
    <x v="4"/>
    <x v="1"/>
    <x v="12"/>
    <x v="3"/>
    <x v="1"/>
    <n v="278"/>
    <n v="3238"/>
    <n v="4845.92"/>
    <n v="1864"/>
    <n v="86"/>
    <n v="9"/>
    <s v="No"/>
    <n v="1425"/>
    <x v="0"/>
    <n v="1347165.76"/>
    <n v="447001.76"/>
    <d v="2025-09-25T00:00:00"/>
    <x v="4"/>
  </r>
  <r>
    <s v="ORD00221"/>
    <d v="2025-01-20T00:00:00"/>
    <x v="3"/>
    <x v="2"/>
    <x v="2"/>
    <x v="10"/>
    <x v="1"/>
    <x v="2"/>
    <n v="118"/>
    <n v="4557"/>
    <n v="6039.82"/>
    <n v="1513"/>
    <n v="164"/>
    <n v="2"/>
    <s v="No"/>
    <n v="2853"/>
    <x v="1"/>
    <n v="712698.76"/>
    <n v="174972.76"/>
    <d v="2025-01-20T00:00:00"/>
    <x v="6"/>
  </r>
  <r>
    <s v="ORD00222"/>
    <d v="2025-11-28T00:00:00"/>
    <x v="3"/>
    <x v="1"/>
    <x v="3"/>
    <x v="14"/>
    <x v="2"/>
    <x v="1"/>
    <n v="219"/>
    <n v="922"/>
    <n v="1269.81"/>
    <n v="1850"/>
    <n v="287"/>
    <n v="1"/>
    <s v="Yes"/>
    <n v="4194"/>
    <x v="1"/>
    <n v="278088.39"/>
    <n v="76170.39"/>
    <d v="2025-11-28T00:00:00"/>
    <x v="0"/>
  </r>
  <r>
    <s v="ORD00223"/>
    <d v="2025-09-07T00:00:00"/>
    <x v="1"/>
    <x v="2"/>
    <x v="1"/>
    <x v="11"/>
    <x v="3"/>
    <x v="0"/>
    <n v="333"/>
    <n v="1671"/>
    <n v="2429.6999999999998"/>
    <n v="964"/>
    <n v="169"/>
    <n v="8"/>
    <s v="No"/>
    <n v="6313"/>
    <x v="3"/>
    <n v="809090.1"/>
    <n v="252647.1"/>
    <d v="2025-09-07T00:00:00"/>
    <x v="4"/>
  </r>
  <r>
    <s v="ORD00224"/>
    <d v="2025-11-17T00:00:00"/>
    <x v="0"/>
    <x v="3"/>
    <x v="3"/>
    <x v="16"/>
    <x v="1"/>
    <x v="2"/>
    <n v="476"/>
    <n v="1443"/>
    <n v="1661.59"/>
    <n v="1837"/>
    <n v="221"/>
    <n v="2"/>
    <s v="Yes"/>
    <n v="2975"/>
    <x v="0"/>
    <n v="790916.84"/>
    <n v="104048.84"/>
    <d v="2025-11-17T00:00:00"/>
    <x v="0"/>
  </r>
  <r>
    <s v="ORD00225"/>
    <d v="2025-10-05T00:00:00"/>
    <x v="0"/>
    <x v="2"/>
    <x v="3"/>
    <x v="16"/>
    <x v="1"/>
    <x v="0"/>
    <n v="185"/>
    <n v="3675"/>
    <n v="5138.8599999999997"/>
    <n v="973"/>
    <n v="297"/>
    <n v="9"/>
    <s v="No"/>
    <n v="3240"/>
    <x v="2"/>
    <n v="950689.1"/>
    <n v="270814.09999999998"/>
    <d v="2025-10-05T00:00:00"/>
    <x v="11"/>
  </r>
  <r>
    <s v="ORD00226"/>
    <d v="2025-02-03T00:00:00"/>
    <x v="3"/>
    <x v="1"/>
    <x v="3"/>
    <x v="6"/>
    <x v="1"/>
    <x v="1"/>
    <n v="77"/>
    <n v="287"/>
    <n v="380.55"/>
    <n v="187"/>
    <n v="233"/>
    <n v="10"/>
    <s v="No"/>
    <n v="6466"/>
    <x v="3"/>
    <n v="29302.35"/>
    <n v="7203.35"/>
    <d v="2025-02-03T00:00:00"/>
    <x v="5"/>
  </r>
  <r>
    <s v="ORD00227"/>
    <d v="2025-09-16T00:00:00"/>
    <x v="3"/>
    <x v="2"/>
    <x v="1"/>
    <x v="12"/>
    <x v="3"/>
    <x v="0"/>
    <n v="34"/>
    <n v="792"/>
    <n v="1163.76"/>
    <n v="1661"/>
    <n v="103"/>
    <n v="6"/>
    <s v="No"/>
    <n v="2931"/>
    <x v="2"/>
    <n v="39567.839999999997"/>
    <n v="12639.84"/>
    <d v="2025-09-16T00:00:00"/>
    <x v="4"/>
  </r>
  <r>
    <s v="ORD00228"/>
    <d v="2025-11-15T00:00:00"/>
    <x v="3"/>
    <x v="0"/>
    <x v="1"/>
    <x v="3"/>
    <x v="3"/>
    <x v="2"/>
    <n v="350"/>
    <n v="3544"/>
    <n v="4780.79"/>
    <n v="440"/>
    <n v="163"/>
    <n v="7"/>
    <s v="No"/>
    <n v="5612"/>
    <x v="3"/>
    <n v="1673276.5"/>
    <n v="432876.5"/>
    <d v="2025-11-15T00:00:00"/>
    <x v="0"/>
  </r>
  <r>
    <s v="ORD00229"/>
    <d v="2025-06-05T00:00:00"/>
    <x v="3"/>
    <x v="3"/>
    <x v="3"/>
    <x v="14"/>
    <x v="1"/>
    <x v="1"/>
    <n v="166"/>
    <n v="1278"/>
    <n v="1908.18"/>
    <n v="1029"/>
    <n v="168"/>
    <n v="10"/>
    <s v="No"/>
    <n v="6334"/>
    <x v="0"/>
    <n v="316757.88"/>
    <n v="104609.88"/>
    <d v="2025-06-05T00:00:00"/>
    <x v="7"/>
  </r>
  <r>
    <s v="ORD00230"/>
    <d v="2025-08-29T00:00:00"/>
    <x v="0"/>
    <x v="3"/>
    <x v="2"/>
    <x v="10"/>
    <x v="3"/>
    <x v="1"/>
    <n v="204"/>
    <n v="3544"/>
    <n v="4697.2299999999996"/>
    <n v="804"/>
    <n v="104"/>
    <n v="5"/>
    <s v="Yes"/>
    <n v="7197"/>
    <x v="1"/>
    <n v="958234.92"/>
    <n v="235258.92"/>
    <d v="2025-08-29T00:00:00"/>
    <x v="1"/>
  </r>
  <r>
    <s v="ORD00231"/>
    <d v="2025-03-16T00:00:00"/>
    <x v="3"/>
    <x v="3"/>
    <x v="2"/>
    <x v="13"/>
    <x v="2"/>
    <x v="0"/>
    <n v="203"/>
    <n v="3640"/>
    <n v="4282.13"/>
    <n v="924"/>
    <n v="260"/>
    <n v="10"/>
    <s v="No"/>
    <n v="4133"/>
    <x v="2"/>
    <n v="869272.39"/>
    <n v="130352.39"/>
    <d v="2025-03-16T00:00:00"/>
    <x v="3"/>
  </r>
  <r>
    <s v="ORD00232"/>
    <d v="2025-01-09T00:00:00"/>
    <x v="0"/>
    <x v="2"/>
    <x v="0"/>
    <x v="2"/>
    <x v="0"/>
    <x v="1"/>
    <n v="396"/>
    <n v="4164"/>
    <n v="4898.46"/>
    <n v="788"/>
    <n v="252"/>
    <n v="5"/>
    <s v="Yes"/>
    <n v="513"/>
    <x v="1"/>
    <n v="1939790.16"/>
    <n v="290846.15999999997"/>
    <d v="2025-01-09T00:00:00"/>
    <x v="6"/>
  </r>
  <r>
    <s v="ORD00233"/>
    <d v="2025-12-27T00:00:00"/>
    <x v="2"/>
    <x v="3"/>
    <x v="2"/>
    <x v="13"/>
    <x v="3"/>
    <x v="1"/>
    <n v="284"/>
    <n v="1914"/>
    <n v="2502.58"/>
    <n v="937"/>
    <n v="213"/>
    <n v="5"/>
    <s v="Yes"/>
    <n v="2588"/>
    <x v="0"/>
    <n v="710732.72"/>
    <n v="167156.72"/>
    <d v="2025-12-27T00:00:00"/>
    <x v="10"/>
  </r>
  <r>
    <s v="ORD00234"/>
    <d v="2025-10-21T00:00:00"/>
    <x v="3"/>
    <x v="4"/>
    <x v="0"/>
    <x v="8"/>
    <x v="2"/>
    <x v="0"/>
    <n v="389"/>
    <n v="1692"/>
    <n v="2019.06"/>
    <n v="1915"/>
    <n v="111"/>
    <n v="8"/>
    <s v="No"/>
    <n v="5401"/>
    <x v="3"/>
    <n v="785414.34"/>
    <n v="127226.34"/>
    <d v="2025-10-21T00:00:00"/>
    <x v="11"/>
  </r>
  <r>
    <s v="ORD00235"/>
    <d v="2025-03-30T00:00:00"/>
    <x v="1"/>
    <x v="2"/>
    <x v="2"/>
    <x v="17"/>
    <x v="1"/>
    <x v="2"/>
    <n v="177"/>
    <n v="4204"/>
    <n v="5230.84"/>
    <n v="203"/>
    <n v="287"/>
    <n v="2"/>
    <s v="Yes"/>
    <n v="4627"/>
    <x v="1"/>
    <n v="925858.68"/>
    <n v="181750.68"/>
    <d v="2025-03-30T00:00:00"/>
    <x v="3"/>
  </r>
  <r>
    <s v="ORD00236"/>
    <d v="2025-02-14T00:00:00"/>
    <x v="3"/>
    <x v="4"/>
    <x v="3"/>
    <x v="15"/>
    <x v="0"/>
    <x v="2"/>
    <n v="292"/>
    <n v="1937"/>
    <n v="2380.44"/>
    <n v="1848"/>
    <n v="139"/>
    <n v="6"/>
    <s v="No"/>
    <n v="7536"/>
    <x v="0"/>
    <n v="695088.48"/>
    <n v="129484.48"/>
    <d v="2025-02-14T00:00:00"/>
    <x v="5"/>
  </r>
  <r>
    <s v="ORD00237"/>
    <d v="2025-01-03T00:00:00"/>
    <x v="1"/>
    <x v="1"/>
    <x v="3"/>
    <x v="15"/>
    <x v="2"/>
    <x v="2"/>
    <n v="43"/>
    <n v="4080"/>
    <n v="4897.38"/>
    <n v="537"/>
    <n v="167"/>
    <n v="1"/>
    <s v="Yes"/>
    <n v="4892"/>
    <x v="1"/>
    <n v="210587.34"/>
    <n v="35147.339999999997"/>
    <d v="2025-01-03T00:00:00"/>
    <x v="6"/>
  </r>
  <r>
    <s v="ORD00238"/>
    <d v="2025-04-13T00:00:00"/>
    <x v="2"/>
    <x v="2"/>
    <x v="0"/>
    <x v="19"/>
    <x v="3"/>
    <x v="1"/>
    <n v="201"/>
    <n v="2374"/>
    <n v="3214.58"/>
    <n v="1605"/>
    <n v="249"/>
    <n v="10"/>
    <s v="No"/>
    <n v="7584"/>
    <x v="3"/>
    <n v="646130.57999999996"/>
    <n v="168956.58"/>
    <d v="2025-04-13T00:00:00"/>
    <x v="8"/>
  </r>
  <r>
    <s v="ORD00239"/>
    <d v="2025-02-19T00:00:00"/>
    <x v="0"/>
    <x v="4"/>
    <x v="0"/>
    <x v="0"/>
    <x v="2"/>
    <x v="0"/>
    <n v="425"/>
    <n v="4067"/>
    <n v="6098.11"/>
    <n v="1394"/>
    <n v="248"/>
    <n v="4"/>
    <s v="Yes"/>
    <n v="3834"/>
    <x v="0"/>
    <n v="2591696.75"/>
    <n v="863221.75"/>
    <d v="2025-02-19T00:00:00"/>
    <x v="5"/>
  </r>
  <r>
    <s v="ORD00240"/>
    <d v="2025-05-05T00:00:00"/>
    <x v="0"/>
    <x v="3"/>
    <x v="2"/>
    <x v="13"/>
    <x v="1"/>
    <x v="0"/>
    <n v="226"/>
    <n v="4279"/>
    <n v="5740.79"/>
    <n v="1097"/>
    <n v="224"/>
    <n v="5"/>
    <s v="Yes"/>
    <n v="2441"/>
    <x v="1"/>
    <n v="1297418.54"/>
    <n v="330364.53999999998"/>
    <d v="2025-05-05T00:00:00"/>
    <x v="2"/>
  </r>
  <r>
    <s v="ORD00241"/>
    <d v="2025-04-10T00:00:00"/>
    <x v="2"/>
    <x v="4"/>
    <x v="2"/>
    <x v="17"/>
    <x v="2"/>
    <x v="1"/>
    <n v="121"/>
    <n v="545"/>
    <n v="742.9"/>
    <n v="1855"/>
    <n v="285"/>
    <n v="4"/>
    <s v="Yes"/>
    <n v="3570"/>
    <x v="1"/>
    <n v="89890.9"/>
    <n v="23945.9"/>
    <d v="2025-04-10T00:00:00"/>
    <x v="8"/>
  </r>
  <r>
    <s v="ORD00242"/>
    <d v="2025-02-03T00:00:00"/>
    <x v="0"/>
    <x v="1"/>
    <x v="0"/>
    <x v="2"/>
    <x v="1"/>
    <x v="0"/>
    <n v="18"/>
    <n v="1708"/>
    <n v="2152.85"/>
    <n v="1207"/>
    <n v="164"/>
    <n v="3"/>
    <s v="Yes"/>
    <n v="6256"/>
    <x v="1"/>
    <n v="38751.300000000003"/>
    <n v="8007.3"/>
    <d v="2025-02-03T00:00:00"/>
    <x v="5"/>
  </r>
  <r>
    <s v="ORD00243"/>
    <d v="2025-06-27T00:00:00"/>
    <x v="2"/>
    <x v="4"/>
    <x v="3"/>
    <x v="15"/>
    <x v="3"/>
    <x v="2"/>
    <n v="241"/>
    <n v="3851"/>
    <n v="4484.33"/>
    <n v="824"/>
    <n v="237"/>
    <n v="4"/>
    <s v="Yes"/>
    <n v="4981"/>
    <x v="1"/>
    <n v="1080723.53"/>
    <n v="152632.53"/>
    <d v="2025-06-27T00:00:00"/>
    <x v="7"/>
  </r>
  <r>
    <s v="ORD00244"/>
    <d v="2025-06-23T00:00:00"/>
    <x v="1"/>
    <x v="0"/>
    <x v="2"/>
    <x v="5"/>
    <x v="2"/>
    <x v="2"/>
    <n v="369"/>
    <n v="4285"/>
    <n v="5236.42"/>
    <n v="1260"/>
    <n v="126"/>
    <n v="5"/>
    <s v="Yes"/>
    <n v="6547"/>
    <x v="1"/>
    <n v="1932238.98"/>
    <n v="351073.98"/>
    <d v="2025-06-23T00:00:00"/>
    <x v="7"/>
  </r>
  <r>
    <s v="ORD00245"/>
    <d v="2025-11-09T00:00:00"/>
    <x v="2"/>
    <x v="3"/>
    <x v="3"/>
    <x v="16"/>
    <x v="1"/>
    <x v="2"/>
    <n v="458"/>
    <n v="3305"/>
    <n v="4276.63"/>
    <n v="1106"/>
    <n v="80"/>
    <n v="8"/>
    <s v="No"/>
    <n v="5205"/>
    <x v="3"/>
    <n v="1958696.54"/>
    <n v="445006.54"/>
    <d v="2025-11-09T00:00:00"/>
    <x v="0"/>
  </r>
  <r>
    <s v="ORD00246"/>
    <d v="2025-02-21T00:00:00"/>
    <x v="3"/>
    <x v="4"/>
    <x v="2"/>
    <x v="5"/>
    <x v="2"/>
    <x v="2"/>
    <n v="126"/>
    <n v="1632"/>
    <n v="2008.6"/>
    <n v="376"/>
    <n v="228"/>
    <n v="8"/>
    <s v="No"/>
    <n v="2644"/>
    <x v="1"/>
    <n v="253083.6"/>
    <n v="47451.6"/>
    <d v="2025-02-21T00:00:00"/>
    <x v="5"/>
  </r>
  <r>
    <s v="ORD00247"/>
    <d v="2025-05-24T00:00:00"/>
    <x v="3"/>
    <x v="0"/>
    <x v="2"/>
    <x v="17"/>
    <x v="2"/>
    <x v="0"/>
    <n v="441"/>
    <n v="2874"/>
    <n v="3689.65"/>
    <n v="138"/>
    <n v="110"/>
    <n v="3"/>
    <s v="Yes"/>
    <n v="7043"/>
    <x v="1"/>
    <n v="1627135.65"/>
    <n v="359701.65"/>
    <d v="2025-05-24T00:00:00"/>
    <x v="2"/>
  </r>
  <r>
    <s v="ORD00248"/>
    <d v="2025-08-23T00:00:00"/>
    <x v="1"/>
    <x v="2"/>
    <x v="0"/>
    <x v="19"/>
    <x v="1"/>
    <x v="0"/>
    <n v="127"/>
    <n v="1029"/>
    <n v="1269.4100000000001"/>
    <n v="1133"/>
    <n v="240"/>
    <n v="7"/>
    <s v="No"/>
    <n v="5959"/>
    <x v="0"/>
    <n v="161215.07"/>
    <n v="30532.07"/>
    <d v="2025-08-23T00:00:00"/>
    <x v="1"/>
  </r>
  <r>
    <s v="ORD00249"/>
    <d v="2025-02-20T00:00:00"/>
    <x v="2"/>
    <x v="1"/>
    <x v="0"/>
    <x v="19"/>
    <x v="3"/>
    <x v="1"/>
    <n v="28"/>
    <n v="2091"/>
    <n v="2701.13"/>
    <n v="1716"/>
    <n v="142"/>
    <n v="7"/>
    <s v="No"/>
    <n v="755"/>
    <x v="2"/>
    <n v="75631.64"/>
    <n v="17083.64"/>
    <d v="2025-02-20T00:00:00"/>
    <x v="5"/>
  </r>
  <r>
    <s v="ORD00250"/>
    <d v="2025-03-26T00:00:00"/>
    <x v="1"/>
    <x v="0"/>
    <x v="3"/>
    <x v="6"/>
    <x v="0"/>
    <x v="1"/>
    <n v="177"/>
    <n v="372"/>
    <n v="499.19"/>
    <n v="632"/>
    <n v="127"/>
    <n v="1"/>
    <s v="No"/>
    <n v="6478"/>
    <x v="1"/>
    <n v="88356.63"/>
    <n v="22512.63"/>
    <d v="2025-03-26T00:00:00"/>
    <x v="3"/>
  </r>
  <r>
    <s v="ORD00251"/>
    <d v="2025-08-02T00:00:00"/>
    <x v="0"/>
    <x v="0"/>
    <x v="3"/>
    <x v="15"/>
    <x v="2"/>
    <x v="0"/>
    <n v="98"/>
    <n v="3656"/>
    <n v="5019.3100000000004"/>
    <n v="528"/>
    <n v="132"/>
    <n v="2"/>
    <s v="Yes"/>
    <n v="1803"/>
    <x v="1"/>
    <n v="491892.38"/>
    <n v="133604.38"/>
    <d v="2025-08-02T00:00:00"/>
    <x v="1"/>
  </r>
  <r>
    <s v="ORD00252"/>
    <d v="2025-04-03T00:00:00"/>
    <x v="0"/>
    <x v="1"/>
    <x v="1"/>
    <x v="7"/>
    <x v="3"/>
    <x v="1"/>
    <n v="477"/>
    <n v="3890"/>
    <n v="5288.78"/>
    <n v="1014"/>
    <n v="276"/>
    <n v="5"/>
    <s v="Yes"/>
    <n v="4806"/>
    <x v="1"/>
    <n v="2522748.06"/>
    <n v="667218.06000000006"/>
    <d v="2025-04-03T00:00:00"/>
    <x v="8"/>
  </r>
  <r>
    <s v="ORD00253"/>
    <d v="2025-04-19T00:00:00"/>
    <x v="3"/>
    <x v="2"/>
    <x v="2"/>
    <x v="17"/>
    <x v="3"/>
    <x v="1"/>
    <n v="83"/>
    <n v="380"/>
    <n v="530.34"/>
    <n v="446"/>
    <n v="289"/>
    <n v="3"/>
    <s v="Yes"/>
    <n v="7573"/>
    <x v="1"/>
    <n v="44018.22"/>
    <n v="12478.22"/>
    <d v="2025-04-19T00:00:00"/>
    <x v="8"/>
  </r>
  <r>
    <s v="ORD00254"/>
    <d v="2025-11-26T00:00:00"/>
    <x v="1"/>
    <x v="3"/>
    <x v="0"/>
    <x v="19"/>
    <x v="1"/>
    <x v="2"/>
    <n v="205"/>
    <n v="3663"/>
    <n v="5187.91"/>
    <n v="115"/>
    <n v="98"/>
    <n v="8"/>
    <s v="No"/>
    <n v="3723"/>
    <x v="3"/>
    <n v="1063521.55"/>
    <n v="312606.55"/>
    <d v="2025-11-26T00:00:00"/>
    <x v="0"/>
  </r>
  <r>
    <s v="ORD00255"/>
    <d v="2025-08-24T00:00:00"/>
    <x v="1"/>
    <x v="0"/>
    <x v="2"/>
    <x v="17"/>
    <x v="2"/>
    <x v="1"/>
    <n v="345"/>
    <n v="4087"/>
    <n v="4968.4799999999996"/>
    <n v="330"/>
    <n v="289"/>
    <n v="5"/>
    <s v="No"/>
    <n v="353"/>
    <x v="3"/>
    <n v="1714125.6"/>
    <n v="304110.59999999998"/>
    <d v="2025-08-24T00:00:00"/>
    <x v="1"/>
  </r>
  <r>
    <s v="ORD00256"/>
    <d v="2025-08-25T00:00:00"/>
    <x v="3"/>
    <x v="4"/>
    <x v="2"/>
    <x v="13"/>
    <x v="0"/>
    <x v="0"/>
    <n v="456"/>
    <n v="661"/>
    <n v="963.08"/>
    <n v="1043"/>
    <n v="87"/>
    <n v="7"/>
    <s v="No"/>
    <n v="6131"/>
    <x v="0"/>
    <n v="439164.48"/>
    <n v="137748.48000000001"/>
    <d v="2025-08-25T00:00:00"/>
    <x v="1"/>
  </r>
  <r>
    <s v="ORD00257"/>
    <d v="2025-08-25T00:00:00"/>
    <x v="3"/>
    <x v="4"/>
    <x v="1"/>
    <x v="11"/>
    <x v="2"/>
    <x v="2"/>
    <n v="383"/>
    <n v="3710"/>
    <n v="5036.79"/>
    <n v="153"/>
    <n v="180"/>
    <n v="8"/>
    <s v="No"/>
    <n v="2124"/>
    <x v="1"/>
    <n v="1929090.57"/>
    <n v="508160.57"/>
    <d v="2025-08-25T00:00:00"/>
    <x v="1"/>
  </r>
  <r>
    <s v="ORD00258"/>
    <d v="2025-10-01T00:00:00"/>
    <x v="3"/>
    <x v="3"/>
    <x v="0"/>
    <x v="19"/>
    <x v="3"/>
    <x v="1"/>
    <n v="375"/>
    <n v="986"/>
    <n v="1356"/>
    <n v="541"/>
    <n v="118"/>
    <n v="3"/>
    <s v="Yes"/>
    <n v="3001"/>
    <x v="1"/>
    <n v="508500"/>
    <n v="138750"/>
    <d v="2025-10-01T00:00:00"/>
    <x v="11"/>
  </r>
  <r>
    <s v="ORD00259"/>
    <d v="2025-10-12T00:00:00"/>
    <x v="3"/>
    <x v="3"/>
    <x v="1"/>
    <x v="11"/>
    <x v="2"/>
    <x v="1"/>
    <n v="137"/>
    <n v="2496"/>
    <n v="3126.04"/>
    <n v="286"/>
    <n v="203"/>
    <n v="4"/>
    <s v="Yes"/>
    <n v="865"/>
    <x v="1"/>
    <n v="428267.48"/>
    <n v="86315.48"/>
    <d v="2025-10-12T00:00:00"/>
    <x v="11"/>
  </r>
  <r>
    <s v="ORD00260"/>
    <d v="2025-11-29T00:00:00"/>
    <x v="1"/>
    <x v="0"/>
    <x v="0"/>
    <x v="2"/>
    <x v="0"/>
    <x v="2"/>
    <n v="298"/>
    <n v="1590"/>
    <n v="1941.45"/>
    <n v="878"/>
    <n v="184"/>
    <n v="6"/>
    <s v="No"/>
    <n v="6261"/>
    <x v="1"/>
    <n v="578552.1"/>
    <n v="104732.1"/>
    <d v="2025-11-29T00:00:00"/>
    <x v="0"/>
  </r>
  <r>
    <s v="ORD00261"/>
    <d v="2025-12-04T00:00:00"/>
    <x v="3"/>
    <x v="3"/>
    <x v="1"/>
    <x v="1"/>
    <x v="2"/>
    <x v="2"/>
    <n v="49"/>
    <n v="1012"/>
    <n v="1429.84"/>
    <n v="1983"/>
    <n v="263"/>
    <n v="7"/>
    <s v="No"/>
    <n v="4148"/>
    <x v="1"/>
    <n v="70062.16"/>
    <n v="20474.16"/>
    <d v="2025-12-04T00:00:00"/>
    <x v="10"/>
  </r>
  <r>
    <s v="ORD00262"/>
    <d v="2025-12-15T00:00:00"/>
    <x v="0"/>
    <x v="2"/>
    <x v="2"/>
    <x v="18"/>
    <x v="0"/>
    <x v="0"/>
    <n v="415"/>
    <n v="4774"/>
    <n v="5983.18"/>
    <n v="1361"/>
    <n v="132"/>
    <n v="5"/>
    <s v="Yes"/>
    <n v="1151"/>
    <x v="1"/>
    <n v="2483019.7000000002"/>
    <n v="501809.7"/>
    <d v="2025-12-15T00:00:00"/>
    <x v="10"/>
  </r>
  <r>
    <s v="ORD00263"/>
    <d v="2025-12-26T00:00:00"/>
    <x v="0"/>
    <x v="3"/>
    <x v="0"/>
    <x v="0"/>
    <x v="3"/>
    <x v="1"/>
    <n v="407"/>
    <n v="3684"/>
    <n v="5132"/>
    <n v="190"/>
    <n v="235"/>
    <n v="5"/>
    <s v="Yes"/>
    <n v="6998"/>
    <x v="1"/>
    <n v="2088724"/>
    <n v="589336"/>
    <d v="2025-12-26T00:00:00"/>
    <x v="10"/>
  </r>
  <r>
    <s v="ORD00264"/>
    <d v="2025-06-26T00:00:00"/>
    <x v="3"/>
    <x v="0"/>
    <x v="0"/>
    <x v="8"/>
    <x v="0"/>
    <x v="1"/>
    <n v="66"/>
    <n v="711"/>
    <n v="1011.14"/>
    <n v="1323"/>
    <n v="156"/>
    <n v="10"/>
    <s v="No"/>
    <n v="1759"/>
    <x v="2"/>
    <n v="66735.240000000005"/>
    <n v="19809.240000000002"/>
    <d v="2025-06-26T00:00:00"/>
    <x v="7"/>
  </r>
  <r>
    <s v="ORD00265"/>
    <d v="2025-02-03T00:00:00"/>
    <x v="2"/>
    <x v="0"/>
    <x v="2"/>
    <x v="5"/>
    <x v="2"/>
    <x v="0"/>
    <n v="295"/>
    <n v="1296"/>
    <n v="1603.11"/>
    <n v="543"/>
    <n v="201"/>
    <n v="8"/>
    <s v="No"/>
    <n v="7806"/>
    <x v="1"/>
    <n v="472917.45"/>
    <n v="90597.45"/>
    <d v="2025-02-03T00:00:00"/>
    <x v="5"/>
  </r>
  <r>
    <s v="ORD00266"/>
    <d v="2025-01-05T00:00:00"/>
    <x v="0"/>
    <x v="0"/>
    <x v="2"/>
    <x v="18"/>
    <x v="2"/>
    <x v="2"/>
    <n v="259"/>
    <n v="1877"/>
    <n v="2457.11"/>
    <n v="1020"/>
    <n v="116"/>
    <n v="6"/>
    <s v="No"/>
    <n v="7750"/>
    <x v="2"/>
    <n v="636391.49"/>
    <n v="150248.49"/>
    <d v="2025-01-05T00:00:00"/>
    <x v="6"/>
  </r>
  <r>
    <s v="ORD00267"/>
    <d v="2025-09-09T00:00:00"/>
    <x v="1"/>
    <x v="0"/>
    <x v="0"/>
    <x v="0"/>
    <x v="0"/>
    <x v="2"/>
    <n v="41"/>
    <n v="1258"/>
    <n v="1523.96"/>
    <n v="559"/>
    <n v="284"/>
    <n v="6"/>
    <s v="No"/>
    <n v="5404"/>
    <x v="0"/>
    <n v="62482.36"/>
    <n v="10904.36"/>
    <d v="2025-09-09T00:00:00"/>
    <x v="4"/>
  </r>
  <r>
    <s v="ORD00268"/>
    <d v="2025-04-06T00:00:00"/>
    <x v="0"/>
    <x v="4"/>
    <x v="1"/>
    <x v="7"/>
    <x v="1"/>
    <x v="1"/>
    <n v="471"/>
    <n v="2151"/>
    <n v="2538.48"/>
    <n v="498"/>
    <n v="223"/>
    <n v="9"/>
    <s v="No"/>
    <n v="4173"/>
    <x v="2"/>
    <n v="1195624.08"/>
    <n v="182503.08"/>
    <d v="2025-04-06T00:00:00"/>
    <x v="8"/>
  </r>
  <r>
    <s v="ORD00269"/>
    <d v="2025-07-03T00:00:00"/>
    <x v="3"/>
    <x v="0"/>
    <x v="2"/>
    <x v="18"/>
    <x v="1"/>
    <x v="2"/>
    <n v="91"/>
    <n v="1729"/>
    <n v="2177.6"/>
    <n v="425"/>
    <n v="162"/>
    <n v="5"/>
    <s v="Yes"/>
    <n v="5927"/>
    <x v="1"/>
    <n v="198161.6"/>
    <n v="40822.6"/>
    <d v="2025-07-03T00:00:00"/>
    <x v="9"/>
  </r>
  <r>
    <s v="ORD00270"/>
    <d v="2025-08-06T00:00:00"/>
    <x v="0"/>
    <x v="1"/>
    <x v="2"/>
    <x v="13"/>
    <x v="2"/>
    <x v="2"/>
    <n v="107"/>
    <n v="2461"/>
    <n v="3344.74"/>
    <n v="113"/>
    <n v="159"/>
    <n v="9"/>
    <s v="No"/>
    <n v="3125"/>
    <x v="1"/>
    <n v="357887.18"/>
    <n v="94560.18"/>
    <d v="2025-08-06T00:00:00"/>
    <x v="1"/>
  </r>
  <r>
    <s v="ORD00271"/>
    <d v="2025-04-09T00:00:00"/>
    <x v="0"/>
    <x v="1"/>
    <x v="2"/>
    <x v="13"/>
    <x v="2"/>
    <x v="2"/>
    <n v="75"/>
    <n v="2626"/>
    <n v="3162.45"/>
    <n v="1739"/>
    <n v="286"/>
    <n v="3"/>
    <s v="Yes"/>
    <n v="454"/>
    <x v="1"/>
    <n v="237183.75"/>
    <n v="40233.75"/>
    <d v="2025-04-09T00:00:00"/>
    <x v="8"/>
  </r>
  <r>
    <s v="ORD00272"/>
    <d v="2025-04-24T00:00:00"/>
    <x v="3"/>
    <x v="1"/>
    <x v="1"/>
    <x v="11"/>
    <x v="2"/>
    <x v="1"/>
    <n v="259"/>
    <n v="2243"/>
    <n v="2983.14"/>
    <n v="709"/>
    <n v="112"/>
    <n v="6"/>
    <s v="No"/>
    <n v="1404"/>
    <x v="3"/>
    <n v="772633.26"/>
    <n v="191696.26"/>
    <d v="2025-04-24T00:00:00"/>
    <x v="8"/>
  </r>
  <r>
    <s v="ORD00273"/>
    <d v="2025-04-13T00:00:00"/>
    <x v="1"/>
    <x v="3"/>
    <x v="1"/>
    <x v="3"/>
    <x v="3"/>
    <x v="2"/>
    <n v="398"/>
    <n v="3886"/>
    <n v="4565.5200000000004"/>
    <n v="1221"/>
    <n v="244"/>
    <n v="7"/>
    <s v="No"/>
    <n v="1398"/>
    <x v="0"/>
    <n v="1817076.96"/>
    <n v="270448.96000000002"/>
    <d v="2025-04-13T00:00:00"/>
    <x v="8"/>
  </r>
  <r>
    <s v="ORD00274"/>
    <d v="2025-09-23T00:00:00"/>
    <x v="1"/>
    <x v="3"/>
    <x v="1"/>
    <x v="1"/>
    <x v="2"/>
    <x v="1"/>
    <n v="393"/>
    <n v="305"/>
    <n v="455"/>
    <n v="789"/>
    <n v="146"/>
    <n v="6"/>
    <s v="No"/>
    <n v="7414"/>
    <x v="1"/>
    <n v="178815"/>
    <n v="58950"/>
    <d v="2025-09-23T00:00:00"/>
    <x v="4"/>
  </r>
  <r>
    <s v="ORD00275"/>
    <d v="2025-02-06T00:00:00"/>
    <x v="1"/>
    <x v="4"/>
    <x v="1"/>
    <x v="3"/>
    <x v="3"/>
    <x v="0"/>
    <n v="147"/>
    <n v="2858"/>
    <n v="3844.75"/>
    <n v="1387"/>
    <n v="85"/>
    <n v="1"/>
    <s v="Yes"/>
    <n v="6734"/>
    <x v="1"/>
    <n v="565178.25"/>
    <n v="145052.25"/>
    <d v="2025-02-06T00:00:00"/>
    <x v="5"/>
  </r>
  <r>
    <s v="ORD00276"/>
    <d v="2025-10-30T00:00:00"/>
    <x v="2"/>
    <x v="2"/>
    <x v="1"/>
    <x v="7"/>
    <x v="2"/>
    <x v="1"/>
    <n v="42"/>
    <n v="836"/>
    <n v="997.23"/>
    <n v="1476"/>
    <n v="235"/>
    <n v="4"/>
    <s v="Yes"/>
    <n v="2982"/>
    <x v="1"/>
    <n v="41883.660000000003"/>
    <n v="6771.66"/>
    <d v="2025-10-30T00:00:00"/>
    <x v="11"/>
  </r>
  <r>
    <s v="ORD00277"/>
    <d v="2025-11-26T00:00:00"/>
    <x v="0"/>
    <x v="4"/>
    <x v="3"/>
    <x v="14"/>
    <x v="1"/>
    <x v="2"/>
    <n v="429"/>
    <n v="1818"/>
    <n v="2440.73"/>
    <n v="138"/>
    <n v="199"/>
    <n v="9"/>
    <s v="No"/>
    <n v="5182"/>
    <x v="2"/>
    <n v="1047073.17"/>
    <n v="267151.17"/>
    <d v="2025-11-26T00:00:00"/>
    <x v="0"/>
  </r>
  <r>
    <s v="ORD00278"/>
    <d v="2025-06-22T00:00:00"/>
    <x v="2"/>
    <x v="0"/>
    <x v="0"/>
    <x v="4"/>
    <x v="0"/>
    <x v="2"/>
    <n v="23"/>
    <n v="112"/>
    <n v="161.97999999999999"/>
    <n v="318"/>
    <n v="149"/>
    <n v="3"/>
    <s v="Yes"/>
    <n v="4170"/>
    <x v="1"/>
    <n v="3725.54"/>
    <n v="1149.54"/>
    <d v="2025-06-22T00:00:00"/>
    <x v="7"/>
  </r>
  <r>
    <s v="ORD00279"/>
    <d v="2025-02-03T00:00:00"/>
    <x v="0"/>
    <x v="4"/>
    <x v="1"/>
    <x v="11"/>
    <x v="3"/>
    <x v="2"/>
    <n v="36"/>
    <n v="4514"/>
    <n v="5208.6499999999996"/>
    <n v="187"/>
    <n v="226"/>
    <n v="5"/>
    <s v="Yes"/>
    <n v="7504"/>
    <x v="1"/>
    <n v="187511.4"/>
    <n v="25007.4"/>
    <d v="2025-02-03T00:00:00"/>
    <x v="5"/>
  </r>
  <r>
    <s v="ORD00280"/>
    <d v="2025-12-13T00:00:00"/>
    <x v="2"/>
    <x v="4"/>
    <x v="3"/>
    <x v="9"/>
    <x v="1"/>
    <x v="1"/>
    <n v="261"/>
    <n v="2650"/>
    <n v="3675.77"/>
    <n v="616"/>
    <n v="101"/>
    <n v="5"/>
    <s v="No"/>
    <n v="5428"/>
    <x v="1"/>
    <n v="959375.97"/>
    <n v="267725.96999999997"/>
    <d v="2025-12-13T00:00:00"/>
    <x v="10"/>
  </r>
  <r>
    <s v="ORD00281"/>
    <d v="2025-05-21T00:00:00"/>
    <x v="1"/>
    <x v="1"/>
    <x v="3"/>
    <x v="9"/>
    <x v="2"/>
    <x v="0"/>
    <n v="445"/>
    <n v="3015"/>
    <n v="4167.22"/>
    <n v="659"/>
    <n v="198"/>
    <n v="8"/>
    <s v="No"/>
    <n v="427"/>
    <x v="3"/>
    <n v="1854412.9"/>
    <n v="512737.9"/>
    <d v="2025-05-21T00:00:00"/>
    <x v="2"/>
  </r>
  <r>
    <s v="ORD00282"/>
    <d v="2025-08-23T00:00:00"/>
    <x v="0"/>
    <x v="2"/>
    <x v="2"/>
    <x v="5"/>
    <x v="0"/>
    <x v="1"/>
    <n v="276"/>
    <n v="4675"/>
    <n v="6153.75"/>
    <n v="606"/>
    <n v="234"/>
    <n v="6"/>
    <s v="No"/>
    <n v="5313"/>
    <x v="2"/>
    <n v="1698435"/>
    <n v="408135"/>
    <d v="2025-08-23T00:00:00"/>
    <x v="1"/>
  </r>
  <r>
    <s v="ORD00283"/>
    <d v="2025-05-13T00:00:00"/>
    <x v="2"/>
    <x v="0"/>
    <x v="2"/>
    <x v="5"/>
    <x v="2"/>
    <x v="0"/>
    <n v="388"/>
    <n v="3989"/>
    <n v="5870.77"/>
    <n v="77"/>
    <n v="105"/>
    <n v="7"/>
    <s v="No"/>
    <n v="2639"/>
    <x v="2"/>
    <n v="2277858.7599999998"/>
    <n v="730126.76"/>
    <d v="2025-05-13T00:00:00"/>
    <x v="2"/>
  </r>
  <r>
    <s v="ORD00284"/>
    <d v="2025-07-13T00:00:00"/>
    <x v="2"/>
    <x v="2"/>
    <x v="1"/>
    <x v="7"/>
    <x v="1"/>
    <x v="2"/>
    <n v="90"/>
    <n v="414"/>
    <n v="593.09"/>
    <n v="523"/>
    <n v="213"/>
    <n v="3"/>
    <s v="Yes"/>
    <n v="7866"/>
    <x v="1"/>
    <n v="53378.1"/>
    <n v="16118.1"/>
    <d v="2025-07-13T00:00:00"/>
    <x v="9"/>
  </r>
  <r>
    <s v="ORD00285"/>
    <d v="2025-06-10T00:00:00"/>
    <x v="3"/>
    <x v="4"/>
    <x v="0"/>
    <x v="4"/>
    <x v="2"/>
    <x v="2"/>
    <n v="369"/>
    <n v="2857"/>
    <n v="3976.3"/>
    <n v="1574"/>
    <n v="254"/>
    <n v="9"/>
    <s v="No"/>
    <n v="4384"/>
    <x v="0"/>
    <n v="1467254.7"/>
    <n v="413021.7"/>
    <d v="2025-06-10T00:00:00"/>
    <x v="7"/>
  </r>
  <r>
    <s v="ORD00286"/>
    <d v="2025-07-16T00:00:00"/>
    <x v="1"/>
    <x v="2"/>
    <x v="1"/>
    <x v="3"/>
    <x v="2"/>
    <x v="1"/>
    <n v="447"/>
    <n v="4150"/>
    <n v="6103.87"/>
    <n v="1920"/>
    <n v="125"/>
    <n v="9"/>
    <s v="No"/>
    <n v="5205"/>
    <x v="1"/>
    <n v="2728429.89"/>
    <n v="873379.89"/>
    <d v="2025-07-16T00:00:00"/>
    <x v="9"/>
  </r>
  <r>
    <s v="ORD00287"/>
    <d v="2025-09-10T00:00:00"/>
    <x v="2"/>
    <x v="3"/>
    <x v="1"/>
    <x v="1"/>
    <x v="1"/>
    <x v="2"/>
    <n v="48"/>
    <n v="4252"/>
    <n v="5257.29"/>
    <n v="88"/>
    <n v="290"/>
    <n v="6"/>
    <s v="No"/>
    <n v="874"/>
    <x v="2"/>
    <n v="252349.92"/>
    <n v="48253.919999999998"/>
    <d v="2025-09-10T00:00:00"/>
    <x v="4"/>
  </r>
  <r>
    <s v="ORD00288"/>
    <d v="2025-06-12T00:00:00"/>
    <x v="2"/>
    <x v="4"/>
    <x v="0"/>
    <x v="4"/>
    <x v="3"/>
    <x v="2"/>
    <n v="414"/>
    <n v="1148"/>
    <n v="1412.17"/>
    <n v="1834"/>
    <n v="133"/>
    <n v="10"/>
    <s v="No"/>
    <n v="2647"/>
    <x v="0"/>
    <n v="584638.38"/>
    <n v="109366.38"/>
    <d v="2025-06-12T00:00:00"/>
    <x v="7"/>
  </r>
  <r>
    <s v="ORD00289"/>
    <d v="2025-09-26T00:00:00"/>
    <x v="0"/>
    <x v="2"/>
    <x v="3"/>
    <x v="9"/>
    <x v="0"/>
    <x v="2"/>
    <n v="372"/>
    <n v="3859"/>
    <n v="5055.1099999999997"/>
    <n v="1827"/>
    <n v="88"/>
    <n v="10"/>
    <s v="No"/>
    <n v="4810"/>
    <x v="3"/>
    <n v="1880500.92"/>
    <n v="444952.92"/>
    <d v="2025-09-26T00:00:00"/>
    <x v="4"/>
  </r>
  <r>
    <s v="ORD00290"/>
    <d v="2025-08-22T00:00:00"/>
    <x v="3"/>
    <x v="1"/>
    <x v="0"/>
    <x v="0"/>
    <x v="2"/>
    <x v="0"/>
    <n v="86"/>
    <n v="1485"/>
    <n v="1736.58"/>
    <n v="1572"/>
    <n v="300"/>
    <n v="7"/>
    <s v="No"/>
    <n v="3390"/>
    <x v="3"/>
    <n v="149345.88"/>
    <n v="21635.88"/>
    <d v="2025-08-22T00:00:00"/>
    <x v="1"/>
  </r>
  <r>
    <s v="ORD00291"/>
    <d v="2025-12-26T00:00:00"/>
    <x v="0"/>
    <x v="1"/>
    <x v="3"/>
    <x v="15"/>
    <x v="3"/>
    <x v="2"/>
    <n v="297"/>
    <n v="2296"/>
    <n v="2645.11"/>
    <n v="1784"/>
    <n v="240"/>
    <n v="2"/>
    <s v="Yes"/>
    <n v="6032"/>
    <x v="1"/>
    <n v="785597.67"/>
    <n v="103685.67"/>
    <d v="2025-12-26T00:00:00"/>
    <x v="10"/>
  </r>
  <r>
    <s v="ORD00292"/>
    <d v="2025-12-25T00:00:00"/>
    <x v="2"/>
    <x v="2"/>
    <x v="1"/>
    <x v="3"/>
    <x v="0"/>
    <x v="0"/>
    <n v="16"/>
    <n v="4523"/>
    <n v="5635.72"/>
    <n v="1445"/>
    <n v="99"/>
    <n v="8"/>
    <s v="No"/>
    <n v="7156"/>
    <x v="3"/>
    <n v="90171.520000000004"/>
    <n v="17803.52"/>
    <d v="2025-12-25T00:00:00"/>
    <x v="10"/>
  </r>
  <r>
    <s v="ORD00293"/>
    <d v="2025-08-10T00:00:00"/>
    <x v="1"/>
    <x v="1"/>
    <x v="3"/>
    <x v="14"/>
    <x v="1"/>
    <x v="2"/>
    <n v="73"/>
    <n v="345"/>
    <n v="408.05"/>
    <n v="876"/>
    <n v="162"/>
    <n v="2"/>
    <s v="Yes"/>
    <n v="3255"/>
    <x v="1"/>
    <n v="29787.65"/>
    <n v="4602.6499999999996"/>
    <d v="2025-08-10T00:00:00"/>
    <x v="1"/>
  </r>
  <r>
    <s v="ORD00294"/>
    <d v="2025-10-30T00:00:00"/>
    <x v="2"/>
    <x v="4"/>
    <x v="3"/>
    <x v="15"/>
    <x v="0"/>
    <x v="1"/>
    <n v="298"/>
    <n v="1482"/>
    <n v="2089.98"/>
    <n v="1359"/>
    <n v="272"/>
    <n v="6"/>
    <s v="No"/>
    <n v="1464"/>
    <x v="0"/>
    <n v="622814.04"/>
    <n v="181178.04"/>
    <d v="2025-10-30T00:00:00"/>
    <x v="11"/>
  </r>
  <r>
    <s v="ORD00295"/>
    <d v="2025-02-20T00:00:00"/>
    <x v="1"/>
    <x v="3"/>
    <x v="0"/>
    <x v="19"/>
    <x v="0"/>
    <x v="0"/>
    <n v="271"/>
    <n v="3656"/>
    <n v="4693.4799999999996"/>
    <n v="551"/>
    <n v="90"/>
    <n v="9"/>
    <s v="No"/>
    <n v="1158"/>
    <x v="1"/>
    <n v="1271933.08"/>
    <n v="281157.08"/>
    <d v="2025-02-20T00:00:00"/>
    <x v="5"/>
  </r>
  <r>
    <s v="ORD00296"/>
    <d v="2025-07-31T00:00:00"/>
    <x v="3"/>
    <x v="4"/>
    <x v="2"/>
    <x v="18"/>
    <x v="3"/>
    <x v="1"/>
    <n v="26"/>
    <n v="1870"/>
    <n v="2617.8200000000002"/>
    <n v="1831"/>
    <n v="186"/>
    <n v="5"/>
    <s v="Yes"/>
    <n v="5669"/>
    <x v="1"/>
    <n v="68063.320000000007"/>
    <n v="19443.32"/>
    <d v="2025-07-31T00:00:00"/>
    <x v="9"/>
  </r>
  <r>
    <s v="ORD00297"/>
    <d v="2025-04-29T00:00:00"/>
    <x v="0"/>
    <x v="1"/>
    <x v="1"/>
    <x v="7"/>
    <x v="0"/>
    <x v="1"/>
    <n v="206"/>
    <n v="3809"/>
    <n v="4404.68"/>
    <n v="780"/>
    <n v="171"/>
    <n v="4"/>
    <s v="Yes"/>
    <n v="3264"/>
    <x v="1"/>
    <n v="907364.08"/>
    <n v="122710.08"/>
    <d v="2025-04-29T00:00:00"/>
    <x v="8"/>
  </r>
  <r>
    <s v="ORD00298"/>
    <d v="2025-06-15T00:00:00"/>
    <x v="0"/>
    <x v="3"/>
    <x v="3"/>
    <x v="14"/>
    <x v="2"/>
    <x v="0"/>
    <n v="98"/>
    <n v="4014"/>
    <n v="5713.3"/>
    <n v="128"/>
    <n v="269"/>
    <n v="9"/>
    <s v="No"/>
    <n v="1387"/>
    <x v="2"/>
    <n v="559903.4"/>
    <n v="166531.4"/>
    <d v="2025-06-15T00:00:00"/>
    <x v="7"/>
  </r>
  <r>
    <s v="ORD00299"/>
    <d v="2025-10-04T00:00:00"/>
    <x v="2"/>
    <x v="4"/>
    <x v="1"/>
    <x v="12"/>
    <x v="2"/>
    <x v="1"/>
    <n v="439"/>
    <n v="1691"/>
    <n v="2013.56"/>
    <n v="979"/>
    <n v="284"/>
    <n v="3"/>
    <s v="Yes"/>
    <n v="3029"/>
    <x v="1"/>
    <n v="883952.84"/>
    <n v="141603.84"/>
    <d v="2025-10-04T00:00:00"/>
    <x v="11"/>
  </r>
  <r>
    <s v="ORD00300"/>
    <d v="2025-11-09T00:00:00"/>
    <x v="3"/>
    <x v="1"/>
    <x v="0"/>
    <x v="0"/>
    <x v="2"/>
    <x v="1"/>
    <n v="110"/>
    <n v="1118"/>
    <n v="1399.36"/>
    <n v="1466"/>
    <n v="235"/>
    <n v="5"/>
    <s v="Yes"/>
    <n v="5669"/>
    <x v="1"/>
    <n v="153929.60000000001"/>
    <n v="30949.599999999999"/>
    <d v="2025-11-09T00:00:00"/>
    <x v="0"/>
  </r>
  <r>
    <s v="ORD00301"/>
    <d v="2025-01-29T00:00:00"/>
    <x v="1"/>
    <x v="4"/>
    <x v="1"/>
    <x v="11"/>
    <x v="1"/>
    <x v="2"/>
    <n v="57"/>
    <n v="2560"/>
    <n v="3571.89"/>
    <n v="2000"/>
    <n v="183"/>
    <n v="5"/>
    <s v="Yes"/>
    <n v="4694"/>
    <x v="1"/>
    <n v="203597.73"/>
    <n v="57677.73"/>
    <d v="2025-01-29T00:00:00"/>
    <x v="6"/>
  </r>
  <r>
    <s v="ORD00302"/>
    <d v="2025-12-14T00:00:00"/>
    <x v="0"/>
    <x v="1"/>
    <x v="1"/>
    <x v="12"/>
    <x v="3"/>
    <x v="1"/>
    <n v="473"/>
    <n v="2202"/>
    <n v="2953.62"/>
    <n v="960"/>
    <n v="98"/>
    <n v="8"/>
    <s v="No"/>
    <n v="5146"/>
    <x v="0"/>
    <n v="1397062.26"/>
    <n v="355516.26"/>
    <d v="2025-12-14T00:00:00"/>
    <x v="10"/>
  </r>
  <r>
    <s v="ORD00303"/>
    <d v="2025-08-11T00:00:00"/>
    <x v="0"/>
    <x v="2"/>
    <x v="1"/>
    <x v="1"/>
    <x v="3"/>
    <x v="2"/>
    <n v="439"/>
    <n v="1317"/>
    <n v="1753.24"/>
    <n v="821"/>
    <n v="104"/>
    <n v="9"/>
    <s v="No"/>
    <n v="2314"/>
    <x v="3"/>
    <n v="769672.36"/>
    <n v="191509.36"/>
    <d v="2025-08-11T00:00:00"/>
    <x v="1"/>
  </r>
  <r>
    <s v="ORD00304"/>
    <d v="2025-08-17T00:00:00"/>
    <x v="2"/>
    <x v="4"/>
    <x v="3"/>
    <x v="14"/>
    <x v="3"/>
    <x v="0"/>
    <n v="144"/>
    <n v="2184"/>
    <n v="2721.16"/>
    <n v="1809"/>
    <n v="125"/>
    <n v="2"/>
    <s v="Yes"/>
    <n v="1568"/>
    <x v="1"/>
    <n v="391847.04"/>
    <n v="77351.039999999994"/>
    <d v="2025-08-17T00:00:00"/>
    <x v="1"/>
  </r>
  <r>
    <s v="ORD00305"/>
    <d v="2025-06-27T00:00:00"/>
    <x v="3"/>
    <x v="4"/>
    <x v="1"/>
    <x v="1"/>
    <x v="0"/>
    <x v="1"/>
    <n v="81"/>
    <n v="1192"/>
    <n v="1508.07"/>
    <n v="1518"/>
    <n v="183"/>
    <n v="6"/>
    <s v="No"/>
    <n v="1671"/>
    <x v="3"/>
    <n v="122153.67"/>
    <n v="25601.67"/>
    <d v="2025-06-27T00:00:00"/>
    <x v="7"/>
  </r>
  <r>
    <s v="ORD00306"/>
    <d v="2025-06-06T00:00:00"/>
    <x v="1"/>
    <x v="2"/>
    <x v="2"/>
    <x v="13"/>
    <x v="3"/>
    <x v="2"/>
    <n v="107"/>
    <n v="2057"/>
    <n v="2982.46"/>
    <n v="1273"/>
    <n v="239"/>
    <n v="2"/>
    <s v="Yes"/>
    <n v="6232"/>
    <x v="1"/>
    <n v="319123.21999999997"/>
    <n v="99024.22"/>
    <d v="2025-06-06T00:00:00"/>
    <x v="7"/>
  </r>
  <r>
    <s v="ORD00307"/>
    <d v="2025-02-26T00:00:00"/>
    <x v="1"/>
    <x v="1"/>
    <x v="2"/>
    <x v="5"/>
    <x v="1"/>
    <x v="0"/>
    <n v="380"/>
    <n v="3181"/>
    <n v="3931.78"/>
    <n v="253"/>
    <n v="273"/>
    <n v="3"/>
    <s v="Yes"/>
    <n v="7637"/>
    <x v="1"/>
    <n v="1494076.4"/>
    <n v="285296.40000000002"/>
    <d v="2025-02-26T00:00:00"/>
    <x v="5"/>
  </r>
  <r>
    <s v="ORD00308"/>
    <d v="2025-12-12T00:00:00"/>
    <x v="0"/>
    <x v="0"/>
    <x v="1"/>
    <x v="12"/>
    <x v="3"/>
    <x v="2"/>
    <n v="185"/>
    <n v="4794"/>
    <n v="5935.62"/>
    <n v="1485"/>
    <n v="273"/>
    <n v="8"/>
    <s v="No"/>
    <n v="7207"/>
    <x v="3"/>
    <n v="1098089.7"/>
    <n v="211199.7"/>
    <d v="2025-12-12T00:00:00"/>
    <x v="10"/>
  </r>
  <r>
    <s v="ORD00309"/>
    <d v="2025-10-02T00:00:00"/>
    <x v="0"/>
    <x v="0"/>
    <x v="0"/>
    <x v="19"/>
    <x v="0"/>
    <x v="1"/>
    <n v="144"/>
    <n v="4815"/>
    <n v="5793.09"/>
    <n v="1740"/>
    <n v="234"/>
    <n v="1"/>
    <s v="Yes"/>
    <n v="7676"/>
    <x v="1"/>
    <n v="834204.96"/>
    <n v="140844.96"/>
    <d v="2025-10-02T00:00:00"/>
    <x v="11"/>
  </r>
  <r>
    <s v="ORD00310"/>
    <d v="2025-06-14T00:00:00"/>
    <x v="1"/>
    <x v="4"/>
    <x v="0"/>
    <x v="19"/>
    <x v="2"/>
    <x v="1"/>
    <n v="363"/>
    <n v="2858"/>
    <n v="4284.9799999999996"/>
    <n v="1746"/>
    <n v="99"/>
    <n v="3"/>
    <s v="Yes"/>
    <n v="7555"/>
    <x v="1"/>
    <n v="1555447.74"/>
    <n v="517993.74"/>
    <d v="2025-06-14T00:00:00"/>
    <x v="7"/>
  </r>
  <r>
    <s v="ORD00311"/>
    <d v="2025-01-24T00:00:00"/>
    <x v="2"/>
    <x v="1"/>
    <x v="2"/>
    <x v="17"/>
    <x v="0"/>
    <x v="0"/>
    <n v="418"/>
    <n v="3974"/>
    <n v="5861.65"/>
    <n v="616"/>
    <n v="293"/>
    <n v="3"/>
    <s v="Yes"/>
    <n v="2556"/>
    <x v="1"/>
    <n v="2450169.7000000002"/>
    <n v="789037.7"/>
    <d v="2025-01-24T00:00:00"/>
    <x v="6"/>
  </r>
  <r>
    <s v="ORD00312"/>
    <d v="2025-05-26T00:00:00"/>
    <x v="3"/>
    <x v="0"/>
    <x v="0"/>
    <x v="4"/>
    <x v="3"/>
    <x v="0"/>
    <n v="432"/>
    <n v="2429"/>
    <n v="3018.94"/>
    <n v="1413"/>
    <n v="281"/>
    <n v="3"/>
    <s v="Yes"/>
    <n v="5350"/>
    <x v="1"/>
    <n v="1304182.08"/>
    <n v="254854.08"/>
    <d v="2025-05-26T00:00:00"/>
    <x v="2"/>
  </r>
  <r>
    <s v="ORD00313"/>
    <d v="2025-01-16T00:00:00"/>
    <x v="3"/>
    <x v="0"/>
    <x v="0"/>
    <x v="8"/>
    <x v="0"/>
    <x v="0"/>
    <n v="75"/>
    <n v="1444"/>
    <n v="2114.29"/>
    <n v="818"/>
    <n v="242"/>
    <n v="5"/>
    <s v="Yes"/>
    <n v="5177"/>
    <x v="1"/>
    <n v="158571.75"/>
    <n v="50271.75"/>
    <d v="2025-01-16T00:00:00"/>
    <x v="6"/>
  </r>
  <r>
    <s v="ORD00314"/>
    <d v="2025-08-14T00:00:00"/>
    <x v="0"/>
    <x v="2"/>
    <x v="1"/>
    <x v="12"/>
    <x v="1"/>
    <x v="1"/>
    <n v="333"/>
    <n v="4335"/>
    <n v="6184.92"/>
    <n v="1758"/>
    <n v="128"/>
    <n v="9"/>
    <s v="No"/>
    <n v="7362"/>
    <x v="0"/>
    <n v="2059578.36"/>
    <n v="616023.36"/>
    <d v="2025-08-14T00:00:00"/>
    <x v="1"/>
  </r>
  <r>
    <s v="ORD00315"/>
    <d v="2025-03-04T00:00:00"/>
    <x v="0"/>
    <x v="1"/>
    <x v="1"/>
    <x v="7"/>
    <x v="2"/>
    <x v="0"/>
    <n v="486"/>
    <n v="2470"/>
    <n v="3139.28"/>
    <n v="371"/>
    <n v="100"/>
    <n v="4"/>
    <s v="Yes"/>
    <n v="4005"/>
    <x v="0"/>
    <n v="1525690.08"/>
    <n v="325270.08"/>
    <d v="2025-03-04T00:00:00"/>
    <x v="3"/>
  </r>
  <r>
    <s v="ORD00316"/>
    <d v="2025-11-30T00:00:00"/>
    <x v="3"/>
    <x v="2"/>
    <x v="2"/>
    <x v="17"/>
    <x v="2"/>
    <x v="1"/>
    <n v="226"/>
    <n v="360"/>
    <n v="514.77"/>
    <n v="739"/>
    <n v="169"/>
    <n v="2"/>
    <s v="No"/>
    <n v="2081"/>
    <x v="1"/>
    <n v="116338.02"/>
    <n v="34978.019999999997"/>
    <d v="2025-11-30T00:00:00"/>
    <x v="0"/>
  </r>
  <r>
    <s v="ORD00317"/>
    <d v="2025-05-17T00:00:00"/>
    <x v="0"/>
    <x v="2"/>
    <x v="3"/>
    <x v="9"/>
    <x v="0"/>
    <x v="0"/>
    <n v="345"/>
    <n v="4206"/>
    <n v="5243.97"/>
    <n v="502"/>
    <n v="136"/>
    <n v="3"/>
    <s v="Yes"/>
    <n v="5284"/>
    <x v="1"/>
    <n v="1809169.65"/>
    <n v="358099.65"/>
    <d v="2025-05-17T00:00:00"/>
    <x v="2"/>
  </r>
  <r>
    <s v="ORD00318"/>
    <d v="2025-01-11T00:00:00"/>
    <x v="3"/>
    <x v="1"/>
    <x v="0"/>
    <x v="19"/>
    <x v="0"/>
    <x v="1"/>
    <n v="41"/>
    <n v="659"/>
    <n v="807.52"/>
    <n v="621"/>
    <n v="96"/>
    <n v="6"/>
    <s v="No"/>
    <n v="595"/>
    <x v="2"/>
    <n v="33108.32"/>
    <n v="6089.32"/>
    <d v="2025-01-11T00:00:00"/>
    <x v="6"/>
  </r>
  <r>
    <s v="ORD00319"/>
    <d v="2025-11-26T00:00:00"/>
    <x v="0"/>
    <x v="0"/>
    <x v="2"/>
    <x v="5"/>
    <x v="2"/>
    <x v="0"/>
    <n v="402"/>
    <n v="3317"/>
    <n v="4174.34"/>
    <n v="360"/>
    <n v="237"/>
    <n v="7"/>
    <s v="No"/>
    <n v="1688"/>
    <x v="2"/>
    <n v="1678084.68"/>
    <n v="344650.68"/>
    <d v="2025-11-26T00:00:00"/>
    <x v="0"/>
  </r>
  <r>
    <s v="ORD00320"/>
    <d v="2025-09-01T00:00:00"/>
    <x v="1"/>
    <x v="3"/>
    <x v="1"/>
    <x v="1"/>
    <x v="1"/>
    <x v="0"/>
    <n v="117"/>
    <n v="2275"/>
    <n v="3151.3"/>
    <n v="801"/>
    <n v="146"/>
    <n v="7"/>
    <s v="No"/>
    <n v="533"/>
    <x v="2"/>
    <n v="368702.1"/>
    <n v="102527.1"/>
    <d v="2025-09-01T00:00:00"/>
    <x v="4"/>
  </r>
  <r>
    <s v="ORD00321"/>
    <d v="2025-06-27T00:00:00"/>
    <x v="3"/>
    <x v="2"/>
    <x v="0"/>
    <x v="2"/>
    <x v="2"/>
    <x v="0"/>
    <n v="376"/>
    <n v="4305"/>
    <n v="6247.92"/>
    <n v="1991"/>
    <n v="136"/>
    <n v="9"/>
    <s v="No"/>
    <n v="509"/>
    <x v="2"/>
    <n v="2349217.92"/>
    <n v="730537.92"/>
    <d v="2025-06-27T00:00:00"/>
    <x v="7"/>
  </r>
  <r>
    <s v="ORD00322"/>
    <d v="2025-05-17T00:00:00"/>
    <x v="3"/>
    <x v="1"/>
    <x v="2"/>
    <x v="17"/>
    <x v="3"/>
    <x v="2"/>
    <n v="235"/>
    <n v="1183"/>
    <n v="1764.19"/>
    <n v="443"/>
    <n v="164"/>
    <n v="3"/>
    <s v="Yes"/>
    <n v="1322"/>
    <x v="0"/>
    <n v="414584.65"/>
    <n v="136579.65"/>
    <d v="2025-05-17T00:00:00"/>
    <x v="2"/>
  </r>
  <r>
    <s v="ORD00323"/>
    <d v="2025-06-15T00:00:00"/>
    <x v="0"/>
    <x v="2"/>
    <x v="2"/>
    <x v="13"/>
    <x v="3"/>
    <x v="0"/>
    <n v="232"/>
    <n v="1911"/>
    <n v="2483.62"/>
    <n v="429"/>
    <n v="106"/>
    <n v="10"/>
    <s v="No"/>
    <n v="3251"/>
    <x v="2"/>
    <n v="576199.84"/>
    <n v="132847.84"/>
    <d v="2025-06-15T00:00:00"/>
    <x v="7"/>
  </r>
  <r>
    <s v="ORD00324"/>
    <d v="2025-11-21T00:00:00"/>
    <x v="0"/>
    <x v="4"/>
    <x v="3"/>
    <x v="6"/>
    <x v="3"/>
    <x v="0"/>
    <n v="172"/>
    <n v="3960"/>
    <n v="5777.09"/>
    <n v="267"/>
    <n v="236"/>
    <n v="10"/>
    <s v="No"/>
    <n v="6019"/>
    <x v="0"/>
    <n v="993659.48"/>
    <n v="312539.48"/>
    <d v="2025-11-21T00:00:00"/>
    <x v="0"/>
  </r>
  <r>
    <s v="ORD00325"/>
    <d v="2025-08-08T00:00:00"/>
    <x v="3"/>
    <x v="1"/>
    <x v="1"/>
    <x v="3"/>
    <x v="2"/>
    <x v="1"/>
    <n v="129"/>
    <n v="529"/>
    <n v="684.5"/>
    <n v="1176"/>
    <n v="238"/>
    <n v="10"/>
    <s v="No"/>
    <n v="4140"/>
    <x v="0"/>
    <n v="88300.5"/>
    <n v="20059.5"/>
    <d v="2025-08-08T00:00:00"/>
    <x v="1"/>
  </r>
  <r>
    <s v="ORD00326"/>
    <d v="2025-02-16T00:00:00"/>
    <x v="2"/>
    <x v="4"/>
    <x v="2"/>
    <x v="10"/>
    <x v="0"/>
    <x v="0"/>
    <n v="294"/>
    <n v="4735"/>
    <n v="6908.09"/>
    <n v="863"/>
    <n v="227"/>
    <n v="7"/>
    <s v="No"/>
    <n v="3220"/>
    <x v="3"/>
    <n v="2030978.46"/>
    <n v="638888.46"/>
    <d v="2025-02-16T00:00:00"/>
    <x v="5"/>
  </r>
  <r>
    <s v="ORD00327"/>
    <d v="2025-05-06T00:00:00"/>
    <x v="1"/>
    <x v="4"/>
    <x v="2"/>
    <x v="17"/>
    <x v="0"/>
    <x v="1"/>
    <n v="296"/>
    <n v="4009"/>
    <n v="5917.34"/>
    <n v="943"/>
    <n v="221"/>
    <n v="8"/>
    <s v="No"/>
    <n v="2339"/>
    <x v="2"/>
    <n v="1751532.64"/>
    <n v="564868.64"/>
    <d v="2025-05-06T00:00:00"/>
    <x v="2"/>
  </r>
  <r>
    <s v="ORD00328"/>
    <d v="2025-10-18T00:00:00"/>
    <x v="2"/>
    <x v="3"/>
    <x v="1"/>
    <x v="11"/>
    <x v="3"/>
    <x v="2"/>
    <n v="116"/>
    <n v="316"/>
    <n v="411.07"/>
    <n v="387"/>
    <n v="199"/>
    <n v="6"/>
    <s v="No"/>
    <n v="412"/>
    <x v="3"/>
    <n v="47684.12"/>
    <n v="11028.12"/>
    <d v="2025-10-18T00:00:00"/>
    <x v="11"/>
  </r>
  <r>
    <s v="ORD00329"/>
    <d v="2025-09-26T00:00:00"/>
    <x v="2"/>
    <x v="1"/>
    <x v="3"/>
    <x v="16"/>
    <x v="3"/>
    <x v="2"/>
    <n v="226"/>
    <n v="1854"/>
    <n v="2510.34"/>
    <n v="631"/>
    <n v="91"/>
    <n v="2"/>
    <s v="Yes"/>
    <n v="7179"/>
    <x v="1"/>
    <n v="567336.84"/>
    <n v="148332.84"/>
    <d v="2025-09-26T00:00:00"/>
    <x v="4"/>
  </r>
  <r>
    <s v="ORD00330"/>
    <d v="2025-07-13T00:00:00"/>
    <x v="0"/>
    <x v="4"/>
    <x v="1"/>
    <x v="3"/>
    <x v="0"/>
    <x v="1"/>
    <n v="152"/>
    <n v="4259"/>
    <n v="6240.01"/>
    <n v="1579"/>
    <n v="165"/>
    <n v="3"/>
    <s v="Yes"/>
    <n v="3531"/>
    <x v="1"/>
    <n v="948481.52"/>
    <n v="301113.52"/>
    <d v="2025-07-13T00:00:00"/>
    <x v="9"/>
  </r>
  <r>
    <s v="ORD00331"/>
    <d v="2025-02-21T00:00:00"/>
    <x v="1"/>
    <x v="0"/>
    <x v="2"/>
    <x v="17"/>
    <x v="1"/>
    <x v="1"/>
    <n v="358"/>
    <n v="3032"/>
    <n v="4019.42"/>
    <n v="328"/>
    <n v="258"/>
    <n v="1"/>
    <s v="Yes"/>
    <n v="3775"/>
    <x v="1"/>
    <n v="1438952.36"/>
    <n v="353496.36"/>
    <d v="2025-02-21T00:00:00"/>
    <x v="5"/>
  </r>
  <r>
    <s v="ORD00332"/>
    <d v="2025-06-26T00:00:00"/>
    <x v="1"/>
    <x v="0"/>
    <x v="2"/>
    <x v="5"/>
    <x v="1"/>
    <x v="1"/>
    <n v="250"/>
    <n v="722"/>
    <n v="967.9"/>
    <n v="929"/>
    <n v="152"/>
    <n v="8"/>
    <s v="No"/>
    <n v="959"/>
    <x v="3"/>
    <n v="241975"/>
    <n v="61475"/>
    <d v="2025-06-26T00:00:00"/>
    <x v="7"/>
  </r>
  <r>
    <s v="ORD00333"/>
    <d v="2025-09-04T00:00:00"/>
    <x v="3"/>
    <x v="2"/>
    <x v="3"/>
    <x v="9"/>
    <x v="2"/>
    <x v="2"/>
    <n v="44"/>
    <n v="2143"/>
    <n v="2694.12"/>
    <n v="260"/>
    <n v="130"/>
    <n v="2"/>
    <s v="Yes"/>
    <n v="6043"/>
    <x v="1"/>
    <n v="118541.28"/>
    <n v="24249.279999999999"/>
    <d v="2025-09-04T00:00:00"/>
    <x v="4"/>
  </r>
  <r>
    <s v="ORD00334"/>
    <d v="2025-03-14T00:00:00"/>
    <x v="1"/>
    <x v="4"/>
    <x v="0"/>
    <x v="8"/>
    <x v="1"/>
    <x v="1"/>
    <n v="123"/>
    <n v="4251"/>
    <n v="5452.44"/>
    <n v="1664"/>
    <n v="99"/>
    <n v="8"/>
    <s v="No"/>
    <n v="3289"/>
    <x v="2"/>
    <n v="670650.12"/>
    <n v="147777.12"/>
    <d v="2025-03-14T00:00:00"/>
    <x v="3"/>
  </r>
  <r>
    <s v="ORD00335"/>
    <d v="2025-04-06T00:00:00"/>
    <x v="0"/>
    <x v="0"/>
    <x v="1"/>
    <x v="3"/>
    <x v="2"/>
    <x v="2"/>
    <n v="458"/>
    <n v="372"/>
    <n v="552.71"/>
    <n v="1227"/>
    <n v="280"/>
    <n v="8"/>
    <s v="No"/>
    <n v="342"/>
    <x v="3"/>
    <n v="253141.18"/>
    <n v="82765.179999999993"/>
    <d v="2025-04-06T00:00:00"/>
    <x v="8"/>
  </r>
  <r>
    <s v="ORD00336"/>
    <d v="2025-06-08T00:00:00"/>
    <x v="1"/>
    <x v="0"/>
    <x v="1"/>
    <x v="3"/>
    <x v="1"/>
    <x v="0"/>
    <n v="493"/>
    <n v="1720"/>
    <n v="2205.7600000000002"/>
    <n v="1106"/>
    <n v="98"/>
    <n v="4"/>
    <s v="Yes"/>
    <n v="7455"/>
    <x v="0"/>
    <n v="1087439.68"/>
    <n v="239479.67999999999"/>
    <d v="2025-06-08T00:00:00"/>
    <x v="7"/>
  </r>
  <r>
    <s v="ORD00337"/>
    <d v="2025-12-14T00:00:00"/>
    <x v="3"/>
    <x v="1"/>
    <x v="3"/>
    <x v="15"/>
    <x v="2"/>
    <x v="1"/>
    <n v="150"/>
    <n v="3839"/>
    <n v="4959.3900000000003"/>
    <n v="1057"/>
    <n v="178"/>
    <n v="6"/>
    <s v="No"/>
    <n v="7146"/>
    <x v="1"/>
    <n v="743908.5"/>
    <n v="168058.5"/>
    <d v="2025-12-14T00:00:00"/>
    <x v="10"/>
  </r>
  <r>
    <s v="ORD00338"/>
    <d v="2025-06-30T00:00:00"/>
    <x v="0"/>
    <x v="2"/>
    <x v="3"/>
    <x v="6"/>
    <x v="2"/>
    <x v="0"/>
    <n v="251"/>
    <n v="4128"/>
    <n v="5895.97"/>
    <n v="1222"/>
    <n v="177"/>
    <n v="3"/>
    <s v="No"/>
    <n v="4637"/>
    <x v="3"/>
    <n v="1479888.47"/>
    <n v="443760.47"/>
    <d v="2025-06-30T00:00:00"/>
    <x v="7"/>
  </r>
  <r>
    <s v="ORD00339"/>
    <d v="2025-08-20T00:00:00"/>
    <x v="2"/>
    <x v="1"/>
    <x v="0"/>
    <x v="19"/>
    <x v="2"/>
    <x v="1"/>
    <n v="27"/>
    <n v="674"/>
    <n v="931.08"/>
    <n v="1863"/>
    <n v="202"/>
    <n v="9"/>
    <s v="No"/>
    <n v="1811"/>
    <x v="2"/>
    <n v="25139.16"/>
    <n v="6941.16"/>
    <d v="2025-08-20T00:00:00"/>
    <x v="1"/>
  </r>
  <r>
    <s v="ORD00340"/>
    <d v="2025-06-30T00:00:00"/>
    <x v="3"/>
    <x v="4"/>
    <x v="1"/>
    <x v="12"/>
    <x v="3"/>
    <x v="0"/>
    <n v="294"/>
    <n v="1470"/>
    <n v="2148.4"/>
    <n v="1160"/>
    <n v="222"/>
    <n v="4"/>
    <s v="Yes"/>
    <n v="2669"/>
    <x v="1"/>
    <n v="631629.6"/>
    <n v="199449.60000000001"/>
    <d v="2025-06-30T00:00:00"/>
    <x v="7"/>
  </r>
  <r>
    <s v="ORD00341"/>
    <d v="2025-12-18T00:00:00"/>
    <x v="0"/>
    <x v="1"/>
    <x v="0"/>
    <x v="4"/>
    <x v="1"/>
    <x v="0"/>
    <n v="413"/>
    <n v="4807"/>
    <n v="6146.46"/>
    <n v="1025"/>
    <n v="136"/>
    <n v="9"/>
    <s v="No"/>
    <n v="1009"/>
    <x v="3"/>
    <n v="2538487.98"/>
    <n v="553196.98"/>
    <d v="2025-12-18T00:00:00"/>
    <x v="10"/>
  </r>
  <r>
    <s v="ORD00342"/>
    <d v="2025-10-18T00:00:00"/>
    <x v="2"/>
    <x v="4"/>
    <x v="0"/>
    <x v="0"/>
    <x v="2"/>
    <x v="2"/>
    <n v="134"/>
    <n v="4708"/>
    <n v="5979.22"/>
    <n v="86"/>
    <n v="267"/>
    <n v="4"/>
    <s v="Yes"/>
    <n v="2478"/>
    <x v="1"/>
    <n v="801215.48"/>
    <n v="170343.48"/>
    <d v="2025-10-18T00:00:00"/>
    <x v="11"/>
  </r>
  <r>
    <s v="ORD00343"/>
    <d v="2025-01-19T00:00:00"/>
    <x v="3"/>
    <x v="1"/>
    <x v="0"/>
    <x v="2"/>
    <x v="2"/>
    <x v="1"/>
    <n v="34"/>
    <n v="2169"/>
    <n v="3241.66"/>
    <n v="812"/>
    <n v="185"/>
    <n v="9"/>
    <s v="No"/>
    <n v="7861"/>
    <x v="3"/>
    <n v="110216.44"/>
    <n v="36470.44"/>
    <d v="2025-01-19T00:00:00"/>
    <x v="6"/>
  </r>
  <r>
    <s v="ORD00344"/>
    <d v="2025-11-15T00:00:00"/>
    <x v="0"/>
    <x v="1"/>
    <x v="1"/>
    <x v="11"/>
    <x v="3"/>
    <x v="1"/>
    <n v="177"/>
    <n v="4322"/>
    <n v="5475.95"/>
    <n v="1676"/>
    <n v="196"/>
    <n v="6"/>
    <s v="No"/>
    <n v="5647"/>
    <x v="2"/>
    <n v="969243.15"/>
    <n v="204249.15"/>
    <d v="2025-11-15T00:00:00"/>
    <x v="0"/>
  </r>
  <r>
    <s v="ORD00345"/>
    <d v="2025-10-04T00:00:00"/>
    <x v="2"/>
    <x v="2"/>
    <x v="3"/>
    <x v="9"/>
    <x v="1"/>
    <x v="2"/>
    <n v="326"/>
    <n v="4178"/>
    <n v="4889.1099999999997"/>
    <n v="1996"/>
    <n v="112"/>
    <n v="9"/>
    <s v="No"/>
    <n v="370"/>
    <x v="1"/>
    <n v="1593849.86"/>
    <n v="231821.86"/>
    <d v="2025-10-04T00:00:00"/>
    <x v="11"/>
  </r>
  <r>
    <s v="ORD00346"/>
    <d v="2025-12-13T00:00:00"/>
    <x v="2"/>
    <x v="2"/>
    <x v="1"/>
    <x v="12"/>
    <x v="1"/>
    <x v="0"/>
    <n v="281"/>
    <n v="3294"/>
    <n v="4705.99"/>
    <n v="1297"/>
    <n v="276"/>
    <n v="2"/>
    <s v="Yes"/>
    <n v="4032"/>
    <x v="1"/>
    <n v="1322383.19"/>
    <n v="396769.19"/>
    <d v="2025-12-13T00:00:00"/>
    <x v="10"/>
  </r>
  <r>
    <s v="ORD00347"/>
    <d v="2025-12-07T00:00:00"/>
    <x v="3"/>
    <x v="1"/>
    <x v="3"/>
    <x v="9"/>
    <x v="0"/>
    <x v="2"/>
    <n v="51"/>
    <n v="117"/>
    <n v="158.08000000000001"/>
    <n v="628"/>
    <n v="89"/>
    <n v="4"/>
    <s v="Yes"/>
    <n v="5430"/>
    <x v="1"/>
    <n v="8062.08"/>
    <n v="2095.08"/>
    <d v="2025-12-07T00:00:00"/>
    <x v="10"/>
  </r>
  <r>
    <s v="ORD00348"/>
    <d v="2025-10-10T00:00:00"/>
    <x v="2"/>
    <x v="4"/>
    <x v="1"/>
    <x v="11"/>
    <x v="2"/>
    <x v="1"/>
    <n v="427"/>
    <n v="4321"/>
    <n v="6090.42"/>
    <n v="204"/>
    <n v="280"/>
    <n v="8"/>
    <s v="No"/>
    <n v="5702"/>
    <x v="1"/>
    <n v="2600609.34"/>
    <n v="755542.34"/>
    <d v="2025-10-10T00:00:00"/>
    <x v="11"/>
  </r>
  <r>
    <s v="ORD00349"/>
    <d v="2025-06-05T00:00:00"/>
    <x v="0"/>
    <x v="2"/>
    <x v="0"/>
    <x v="4"/>
    <x v="1"/>
    <x v="0"/>
    <n v="208"/>
    <n v="480"/>
    <n v="632.6"/>
    <n v="1993"/>
    <n v="163"/>
    <n v="2"/>
    <s v="Yes"/>
    <n v="3342"/>
    <x v="1"/>
    <n v="131580.79999999999"/>
    <n v="31740.799999999999"/>
    <d v="2025-06-05T00:00:00"/>
    <x v="7"/>
  </r>
  <r>
    <s v="ORD00350"/>
    <d v="2025-05-08T00:00:00"/>
    <x v="2"/>
    <x v="1"/>
    <x v="0"/>
    <x v="0"/>
    <x v="3"/>
    <x v="1"/>
    <n v="232"/>
    <n v="3966"/>
    <n v="4645.8999999999996"/>
    <n v="1169"/>
    <n v="296"/>
    <n v="4"/>
    <s v="Yes"/>
    <n v="3455"/>
    <x v="1"/>
    <n v="1077848.8"/>
    <n v="157736.79999999999"/>
    <d v="2025-05-08T00:00:00"/>
    <x v="2"/>
  </r>
  <r>
    <s v="ORD00351"/>
    <d v="2025-02-09T00:00:00"/>
    <x v="0"/>
    <x v="0"/>
    <x v="0"/>
    <x v="4"/>
    <x v="0"/>
    <x v="2"/>
    <n v="57"/>
    <n v="1233"/>
    <n v="1582.17"/>
    <n v="1651"/>
    <n v="259"/>
    <n v="4"/>
    <s v="Yes"/>
    <n v="5015"/>
    <x v="1"/>
    <n v="90183.69"/>
    <n v="19902.689999999999"/>
    <d v="2025-02-09T00:00:00"/>
    <x v="5"/>
  </r>
  <r>
    <s v="ORD00352"/>
    <d v="2025-04-03T00:00:00"/>
    <x v="3"/>
    <x v="2"/>
    <x v="1"/>
    <x v="11"/>
    <x v="1"/>
    <x v="1"/>
    <n v="90"/>
    <n v="3477"/>
    <n v="4503.96"/>
    <n v="1815"/>
    <n v="131"/>
    <n v="8"/>
    <s v="No"/>
    <n v="7215"/>
    <x v="2"/>
    <n v="405356.4"/>
    <n v="92426.4"/>
    <d v="2025-04-03T00:00:00"/>
    <x v="8"/>
  </r>
  <r>
    <s v="ORD00353"/>
    <d v="2025-08-22T00:00:00"/>
    <x v="0"/>
    <x v="3"/>
    <x v="0"/>
    <x v="0"/>
    <x v="1"/>
    <x v="1"/>
    <n v="440"/>
    <n v="2098"/>
    <n v="2896.38"/>
    <n v="1182"/>
    <n v="274"/>
    <n v="4"/>
    <s v="Yes"/>
    <n v="847"/>
    <x v="1"/>
    <n v="1274407.2"/>
    <n v="351287.2"/>
    <d v="2025-08-22T00:00:00"/>
    <x v="1"/>
  </r>
  <r>
    <s v="ORD00354"/>
    <d v="2025-06-13T00:00:00"/>
    <x v="2"/>
    <x v="4"/>
    <x v="3"/>
    <x v="6"/>
    <x v="1"/>
    <x v="2"/>
    <n v="99"/>
    <n v="5000"/>
    <n v="6344.74"/>
    <n v="1209"/>
    <n v="217"/>
    <n v="5"/>
    <s v="No"/>
    <n v="6270"/>
    <x v="1"/>
    <n v="628129.26"/>
    <n v="133129.26"/>
    <d v="2025-06-13T00:00:00"/>
    <x v="7"/>
  </r>
  <r>
    <s v="ORD00355"/>
    <d v="2025-03-19T00:00:00"/>
    <x v="1"/>
    <x v="2"/>
    <x v="0"/>
    <x v="0"/>
    <x v="3"/>
    <x v="0"/>
    <n v="468"/>
    <n v="3740"/>
    <n v="4323.1400000000003"/>
    <n v="1571"/>
    <n v="100"/>
    <n v="8"/>
    <s v="No"/>
    <n v="1187"/>
    <x v="0"/>
    <n v="2023229.52"/>
    <n v="272909.52"/>
    <d v="2025-03-19T00:00:00"/>
    <x v="3"/>
  </r>
  <r>
    <s v="ORD00356"/>
    <d v="2025-11-22T00:00:00"/>
    <x v="3"/>
    <x v="1"/>
    <x v="0"/>
    <x v="2"/>
    <x v="0"/>
    <x v="2"/>
    <n v="199"/>
    <n v="1644"/>
    <n v="2430.36"/>
    <n v="1081"/>
    <n v="256"/>
    <n v="1"/>
    <s v="Yes"/>
    <n v="2463"/>
    <x v="0"/>
    <n v="483641.64"/>
    <n v="156485.64000000001"/>
    <d v="2025-11-22T00:00:00"/>
    <x v="0"/>
  </r>
  <r>
    <s v="ORD00357"/>
    <d v="2025-03-25T00:00:00"/>
    <x v="1"/>
    <x v="2"/>
    <x v="0"/>
    <x v="19"/>
    <x v="0"/>
    <x v="2"/>
    <n v="216"/>
    <n v="4992"/>
    <n v="6915.91"/>
    <n v="1296"/>
    <n v="213"/>
    <n v="7"/>
    <s v="No"/>
    <n v="5422"/>
    <x v="3"/>
    <n v="1493836.56"/>
    <n v="415564.56"/>
    <d v="2025-03-25T00:00:00"/>
    <x v="3"/>
  </r>
  <r>
    <s v="ORD00358"/>
    <d v="2025-10-13T00:00:00"/>
    <x v="2"/>
    <x v="1"/>
    <x v="3"/>
    <x v="14"/>
    <x v="3"/>
    <x v="0"/>
    <n v="395"/>
    <n v="4899"/>
    <n v="6217.85"/>
    <n v="1764"/>
    <n v="241"/>
    <n v="8"/>
    <s v="No"/>
    <n v="6913"/>
    <x v="3"/>
    <n v="2456050.75"/>
    <n v="520945.75"/>
    <d v="2025-10-13T00:00:00"/>
    <x v="11"/>
  </r>
  <r>
    <s v="ORD00359"/>
    <d v="2025-08-15T00:00:00"/>
    <x v="2"/>
    <x v="0"/>
    <x v="2"/>
    <x v="5"/>
    <x v="3"/>
    <x v="2"/>
    <n v="114"/>
    <n v="1880"/>
    <n v="2811.13"/>
    <n v="1008"/>
    <n v="129"/>
    <n v="3"/>
    <s v="Yes"/>
    <n v="2619"/>
    <x v="1"/>
    <n v="320468.82"/>
    <n v="106148.82"/>
    <d v="2025-08-15T00:00:00"/>
    <x v="1"/>
  </r>
  <r>
    <s v="ORD00360"/>
    <d v="2025-09-03T00:00:00"/>
    <x v="3"/>
    <x v="2"/>
    <x v="3"/>
    <x v="16"/>
    <x v="1"/>
    <x v="2"/>
    <n v="493"/>
    <n v="2882"/>
    <n v="3466.58"/>
    <n v="1123"/>
    <n v="140"/>
    <n v="6"/>
    <s v="No"/>
    <n v="2711"/>
    <x v="2"/>
    <n v="1709023.94"/>
    <n v="288197.94"/>
    <d v="2025-09-03T00:00:00"/>
    <x v="4"/>
  </r>
  <r>
    <s v="ORD00361"/>
    <d v="2025-09-12T00:00:00"/>
    <x v="2"/>
    <x v="2"/>
    <x v="2"/>
    <x v="10"/>
    <x v="2"/>
    <x v="1"/>
    <n v="134"/>
    <n v="602"/>
    <n v="897.34"/>
    <n v="1893"/>
    <n v="101"/>
    <n v="9"/>
    <s v="No"/>
    <n v="5365"/>
    <x v="3"/>
    <n v="120243.56"/>
    <n v="39575.56"/>
    <d v="2025-09-12T00:00:00"/>
    <x v="4"/>
  </r>
  <r>
    <s v="ORD00362"/>
    <d v="2025-08-07T00:00:00"/>
    <x v="2"/>
    <x v="0"/>
    <x v="3"/>
    <x v="16"/>
    <x v="3"/>
    <x v="2"/>
    <n v="425"/>
    <n v="240"/>
    <n v="335.66"/>
    <n v="1069"/>
    <n v="217"/>
    <n v="7"/>
    <s v="No"/>
    <n v="5207"/>
    <x v="3"/>
    <n v="142655.5"/>
    <n v="40655.5"/>
    <d v="2025-08-07T00:00:00"/>
    <x v="1"/>
  </r>
  <r>
    <s v="ORD00363"/>
    <d v="2025-02-02T00:00:00"/>
    <x v="2"/>
    <x v="2"/>
    <x v="0"/>
    <x v="8"/>
    <x v="3"/>
    <x v="1"/>
    <n v="332"/>
    <n v="354"/>
    <n v="519.73"/>
    <n v="412"/>
    <n v="132"/>
    <n v="6"/>
    <s v="No"/>
    <n v="3828"/>
    <x v="0"/>
    <n v="172550.36"/>
    <n v="55022.36"/>
    <d v="2025-02-02T00:00:00"/>
    <x v="5"/>
  </r>
  <r>
    <s v="ORD00364"/>
    <d v="2025-12-09T00:00:00"/>
    <x v="2"/>
    <x v="2"/>
    <x v="3"/>
    <x v="14"/>
    <x v="2"/>
    <x v="1"/>
    <n v="278"/>
    <n v="303"/>
    <n v="390.46"/>
    <n v="1336"/>
    <n v="192"/>
    <n v="8"/>
    <s v="No"/>
    <n v="4527"/>
    <x v="2"/>
    <n v="108547.88"/>
    <n v="24313.88"/>
    <d v="2025-12-09T00:00:00"/>
    <x v="10"/>
  </r>
  <r>
    <s v="ORD00365"/>
    <d v="2025-06-01T00:00:00"/>
    <x v="3"/>
    <x v="1"/>
    <x v="3"/>
    <x v="9"/>
    <x v="1"/>
    <x v="1"/>
    <n v="71"/>
    <n v="2383"/>
    <n v="3342.57"/>
    <n v="1362"/>
    <n v="234"/>
    <n v="3"/>
    <s v="Yes"/>
    <n v="6498"/>
    <x v="1"/>
    <n v="237322.47"/>
    <n v="68129.47"/>
    <d v="2025-06-01T00:00:00"/>
    <x v="7"/>
  </r>
  <r>
    <s v="ORD00366"/>
    <d v="2025-03-16T00:00:00"/>
    <x v="0"/>
    <x v="3"/>
    <x v="1"/>
    <x v="3"/>
    <x v="0"/>
    <x v="0"/>
    <n v="185"/>
    <n v="2322"/>
    <n v="2981.36"/>
    <n v="1415"/>
    <n v="122"/>
    <n v="3"/>
    <s v="No"/>
    <n v="7595"/>
    <x v="0"/>
    <n v="551551.6"/>
    <n v="121981.6"/>
    <d v="2025-03-16T00:00:00"/>
    <x v="3"/>
  </r>
  <r>
    <s v="ORD00367"/>
    <d v="2025-07-12T00:00:00"/>
    <x v="2"/>
    <x v="1"/>
    <x v="2"/>
    <x v="5"/>
    <x v="0"/>
    <x v="1"/>
    <n v="261"/>
    <n v="4706"/>
    <n v="5876.01"/>
    <n v="1002"/>
    <n v="176"/>
    <n v="3"/>
    <s v="Yes"/>
    <n v="2307"/>
    <x v="1"/>
    <n v="1533638.61"/>
    <n v="305372.61"/>
    <d v="2025-07-12T00:00:00"/>
    <x v="9"/>
  </r>
  <r>
    <s v="ORD00368"/>
    <d v="2025-06-04T00:00:00"/>
    <x v="1"/>
    <x v="1"/>
    <x v="0"/>
    <x v="19"/>
    <x v="2"/>
    <x v="2"/>
    <n v="275"/>
    <n v="4608"/>
    <n v="6649.22"/>
    <n v="543"/>
    <n v="166"/>
    <n v="10"/>
    <s v="No"/>
    <n v="5342"/>
    <x v="3"/>
    <n v="1828535.5"/>
    <n v="561335.5"/>
    <d v="2025-06-04T00:00:00"/>
    <x v="7"/>
  </r>
  <r>
    <s v="ORD00369"/>
    <d v="2025-01-24T00:00:00"/>
    <x v="3"/>
    <x v="1"/>
    <x v="0"/>
    <x v="8"/>
    <x v="0"/>
    <x v="1"/>
    <n v="440"/>
    <n v="2915"/>
    <n v="3910.17"/>
    <n v="1776"/>
    <n v="160"/>
    <n v="10"/>
    <s v="No"/>
    <n v="2081"/>
    <x v="2"/>
    <n v="1720474.8"/>
    <n v="437874.8"/>
    <d v="2025-01-24T00:00:00"/>
    <x v="6"/>
  </r>
  <r>
    <s v="ORD00370"/>
    <d v="2025-12-01T00:00:00"/>
    <x v="1"/>
    <x v="3"/>
    <x v="1"/>
    <x v="1"/>
    <x v="2"/>
    <x v="1"/>
    <n v="385"/>
    <n v="2891"/>
    <n v="4034.86"/>
    <n v="737"/>
    <n v="184"/>
    <n v="6"/>
    <s v="No"/>
    <n v="7320"/>
    <x v="2"/>
    <n v="1553421.1"/>
    <n v="440386.1"/>
    <d v="2025-12-01T00:00:00"/>
    <x v="10"/>
  </r>
  <r>
    <s v="ORD00371"/>
    <d v="2025-11-26T00:00:00"/>
    <x v="3"/>
    <x v="4"/>
    <x v="1"/>
    <x v="12"/>
    <x v="0"/>
    <x v="0"/>
    <n v="220"/>
    <n v="2848"/>
    <n v="3499.27"/>
    <n v="1212"/>
    <n v="153"/>
    <n v="6"/>
    <s v="No"/>
    <n v="1213"/>
    <x v="1"/>
    <n v="769839.4"/>
    <n v="143279.4"/>
    <d v="2025-11-26T00:00:00"/>
    <x v="0"/>
  </r>
  <r>
    <s v="ORD00372"/>
    <d v="2025-05-21T00:00:00"/>
    <x v="1"/>
    <x v="2"/>
    <x v="1"/>
    <x v="12"/>
    <x v="1"/>
    <x v="2"/>
    <n v="293"/>
    <n v="1250"/>
    <n v="1504.99"/>
    <n v="1584"/>
    <n v="195"/>
    <n v="8"/>
    <s v="No"/>
    <n v="6874"/>
    <x v="3"/>
    <n v="440962.07"/>
    <n v="74712.070000000007"/>
    <d v="2025-05-21T00:00:00"/>
    <x v="2"/>
  </r>
  <r>
    <s v="ORD00373"/>
    <d v="2025-08-23T00:00:00"/>
    <x v="0"/>
    <x v="4"/>
    <x v="0"/>
    <x v="4"/>
    <x v="2"/>
    <x v="0"/>
    <n v="473"/>
    <n v="3536"/>
    <n v="5073.22"/>
    <n v="228"/>
    <n v="240"/>
    <n v="8"/>
    <s v="No"/>
    <n v="2882"/>
    <x v="2"/>
    <n v="2399633.06"/>
    <n v="727105.06"/>
    <d v="2025-08-23T00:00:00"/>
    <x v="1"/>
  </r>
  <r>
    <s v="ORD00374"/>
    <d v="2025-04-23T00:00:00"/>
    <x v="2"/>
    <x v="4"/>
    <x v="1"/>
    <x v="1"/>
    <x v="3"/>
    <x v="0"/>
    <n v="283"/>
    <n v="1104"/>
    <n v="1644.09"/>
    <n v="1331"/>
    <n v="202"/>
    <n v="5"/>
    <s v="Yes"/>
    <n v="6828"/>
    <x v="1"/>
    <n v="465277.47"/>
    <n v="152845.47"/>
    <d v="2025-04-23T00:00:00"/>
    <x v="8"/>
  </r>
  <r>
    <s v="ORD00375"/>
    <d v="2025-11-23T00:00:00"/>
    <x v="1"/>
    <x v="4"/>
    <x v="2"/>
    <x v="5"/>
    <x v="1"/>
    <x v="1"/>
    <n v="269"/>
    <n v="1306"/>
    <n v="1820.51"/>
    <n v="198"/>
    <n v="183"/>
    <n v="4"/>
    <s v="Yes"/>
    <n v="4872"/>
    <x v="1"/>
    <n v="489717.19"/>
    <n v="138403.19"/>
    <d v="2025-11-23T00:00:00"/>
    <x v="0"/>
  </r>
  <r>
    <s v="ORD00376"/>
    <d v="2025-05-22T00:00:00"/>
    <x v="1"/>
    <x v="2"/>
    <x v="1"/>
    <x v="7"/>
    <x v="0"/>
    <x v="0"/>
    <n v="77"/>
    <n v="2987"/>
    <n v="4027.61"/>
    <n v="734"/>
    <n v="92"/>
    <n v="2"/>
    <s v="Yes"/>
    <n v="4993"/>
    <x v="1"/>
    <n v="310125.96999999997"/>
    <n v="80126.97"/>
    <d v="2025-05-22T00:00:00"/>
    <x v="2"/>
  </r>
  <r>
    <s v="ORD00377"/>
    <d v="2025-02-07T00:00:00"/>
    <x v="3"/>
    <x v="1"/>
    <x v="3"/>
    <x v="14"/>
    <x v="0"/>
    <x v="1"/>
    <n v="77"/>
    <n v="4823"/>
    <n v="7164.53"/>
    <n v="1059"/>
    <n v="171"/>
    <n v="8"/>
    <s v="No"/>
    <n v="1898"/>
    <x v="0"/>
    <n v="551668.81000000006"/>
    <n v="180297.81"/>
    <d v="2025-02-07T00:00:00"/>
    <x v="5"/>
  </r>
  <r>
    <s v="ORD00378"/>
    <d v="2025-03-02T00:00:00"/>
    <x v="0"/>
    <x v="4"/>
    <x v="0"/>
    <x v="2"/>
    <x v="3"/>
    <x v="1"/>
    <n v="19"/>
    <n v="1989"/>
    <n v="2595.9899999999998"/>
    <n v="422"/>
    <n v="145"/>
    <n v="4"/>
    <s v="Yes"/>
    <n v="5901"/>
    <x v="1"/>
    <n v="49323.81"/>
    <n v="11532.81"/>
    <d v="2025-03-02T00:00:00"/>
    <x v="3"/>
  </r>
  <r>
    <s v="ORD00379"/>
    <d v="2025-03-29T00:00:00"/>
    <x v="3"/>
    <x v="3"/>
    <x v="0"/>
    <x v="8"/>
    <x v="0"/>
    <x v="1"/>
    <n v="212"/>
    <n v="1784"/>
    <n v="2608.33"/>
    <n v="1126"/>
    <n v="104"/>
    <n v="2"/>
    <s v="Yes"/>
    <n v="1532"/>
    <x v="1"/>
    <n v="552965.96"/>
    <n v="174757.96"/>
    <d v="2025-03-29T00:00:00"/>
    <x v="3"/>
  </r>
  <r>
    <s v="ORD00380"/>
    <d v="2025-12-27T00:00:00"/>
    <x v="1"/>
    <x v="0"/>
    <x v="2"/>
    <x v="13"/>
    <x v="1"/>
    <x v="1"/>
    <n v="435"/>
    <n v="3268"/>
    <n v="4308.46"/>
    <n v="1719"/>
    <n v="130"/>
    <n v="6"/>
    <s v="No"/>
    <n v="6227"/>
    <x v="0"/>
    <n v="1874180.1"/>
    <n v="452600.1"/>
    <d v="2025-12-27T00:00:00"/>
    <x v="10"/>
  </r>
  <r>
    <s v="ORD00381"/>
    <d v="2025-05-18T00:00:00"/>
    <x v="0"/>
    <x v="3"/>
    <x v="1"/>
    <x v="7"/>
    <x v="3"/>
    <x v="0"/>
    <n v="166"/>
    <n v="4102"/>
    <n v="4852.26"/>
    <n v="1881"/>
    <n v="168"/>
    <n v="4"/>
    <s v="Yes"/>
    <n v="6512"/>
    <x v="0"/>
    <n v="805475.16"/>
    <n v="124543.16"/>
    <d v="2025-05-18T00:00:00"/>
    <x v="2"/>
  </r>
  <r>
    <s v="ORD00382"/>
    <d v="2025-03-28T00:00:00"/>
    <x v="2"/>
    <x v="0"/>
    <x v="2"/>
    <x v="17"/>
    <x v="2"/>
    <x v="0"/>
    <n v="267"/>
    <n v="3011"/>
    <n v="4393.22"/>
    <n v="1817"/>
    <n v="256"/>
    <n v="6"/>
    <s v="No"/>
    <n v="747"/>
    <x v="0"/>
    <n v="1172989.74"/>
    <n v="369052.74"/>
    <d v="2025-03-28T00:00:00"/>
    <x v="3"/>
  </r>
  <r>
    <s v="ORD00383"/>
    <d v="2025-04-04T00:00:00"/>
    <x v="0"/>
    <x v="0"/>
    <x v="0"/>
    <x v="8"/>
    <x v="3"/>
    <x v="2"/>
    <n v="450"/>
    <n v="3362"/>
    <n v="4279.7700000000004"/>
    <n v="1086"/>
    <n v="249"/>
    <n v="6"/>
    <s v="No"/>
    <n v="1883"/>
    <x v="1"/>
    <n v="1925896.5"/>
    <n v="412996.5"/>
    <d v="2025-04-04T00:00:00"/>
    <x v="8"/>
  </r>
  <r>
    <s v="ORD00384"/>
    <d v="2025-04-19T00:00:00"/>
    <x v="3"/>
    <x v="0"/>
    <x v="3"/>
    <x v="6"/>
    <x v="2"/>
    <x v="1"/>
    <n v="45"/>
    <n v="935"/>
    <n v="1288.77"/>
    <n v="1584"/>
    <n v="151"/>
    <n v="2"/>
    <s v="Yes"/>
    <n v="5462"/>
    <x v="1"/>
    <n v="57994.65"/>
    <n v="15919.65"/>
    <d v="2025-04-19T00:00:00"/>
    <x v="8"/>
  </r>
  <r>
    <s v="ORD00385"/>
    <d v="2025-07-04T00:00:00"/>
    <x v="0"/>
    <x v="2"/>
    <x v="1"/>
    <x v="7"/>
    <x v="0"/>
    <x v="2"/>
    <n v="381"/>
    <n v="3657"/>
    <n v="4937.04"/>
    <n v="1556"/>
    <n v="276"/>
    <n v="3"/>
    <s v="Yes"/>
    <n v="3847"/>
    <x v="1"/>
    <n v="1881012.24"/>
    <n v="487695.24"/>
    <d v="2025-07-04T00:00:00"/>
    <x v="9"/>
  </r>
  <r>
    <s v="ORD00386"/>
    <d v="2025-09-15T00:00:00"/>
    <x v="3"/>
    <x v="0"/>
    <x v="2"/>
    <x v="13"/>
    <x v="0"/>
    <x v="0"/>
    <n v="66"/>
    <n v="3609"/>
    <n v="4638.13"/>
    <n v="1762"/>
    <n v="258"/>
    <n v="6"/>
    <s v="No"/>
    <n v="3467"/>
    <x v="2"/>
    <n v="306116.58"/>
    <n v="67922.58"/>
    <d v="2025-09-15T00:00:00"/>
    <x v="4"/>
  </r>
  <r>
    <s v="ORD00387"/>
    <d v="2025-12-22T00:00:00"/>
    <x v="2"/>
    <x v="4"/>
    <x v="0"/>
    <x v="8"/>
    <x v="3"/>
    <x v="0"/>
    <n v="236"/>
    <n v="3769"/>
    <n v="5097.25"/>
    <n v="917"/>
    <n v="81"/>
    <n v="3"/>
    <s v="Yes"/>
    <n v="3654"/>
    <x v="1"/>
    <n v="1202951"/>
    <n v="313467"/>
    <d v="2025-12-22T00:00:00"/>
    <x v="10"/>
  </r>
  <r>
    <s v="ORD00388"/>
    <d v="2025-05-12T00:00:00"/>
    <x v="0"/>
    <x v="1"/>
    <x v="2"/>
    <x v="17"/>
    <x v="2"/>
    <x v="1"/>
    <n v="469"/>
    <n v="1633"/>
    <n v="2284.91"/>
    <n v="400"/>
    <n v="157"/>
    <n v="3"/>
    <s v="Yes"/>
    <n v="846"/>
    <x v="1"/>
    <n v="1071622.79"/>
    <n v="305745.78999999998"/>
    <d v="2025-05-12T00:00:00"/>
    <x v="2"/>
  </r>
  <r>
    <s v="ORD00389"/>
    <d v="2025-07-04T00:00:00"/>
    <x v="3"/>
    <x v="3"/>
    <x v="2"/>
    <x v="5"/>
    <x v="1"/>
    <x v="0"/>
    <n v="365"/>
    <n v="1932"/>
    <n v="2616.1799999999998"/>
    <n v="72"/>
    <n v="233"/>
    <n v="3"/>
    <s v="Yes"/>
    <n v="1523"/>
    <x v="1"/>
    <n v="954905.7"/>
    <n v="249725.7"/>
    <d v="2025-07-04T00:00:00"/>
    <x v="9"/>
  </r>
  <r>
    <s v="ORD00390"/>
    <d v="2025-10-31T00:00:00"/>
    <x v="3"/>
    <x v="4"/>
    <x v="1"/>
    <x v="3"/>
    <x v="0"/>
    <x v="2"/>
    <n v="156"/>
    <n v="2111"/>
    <n v="2952.02"/>
    <n v="851"/>
    <n v="270"/>
    <n v="2"/>
    <s v="Yes"/>
    <n v="2931"/>
    <x v="1"/>
    <n v="460515.12"/>
    <n v="131199.12"/>
    <d v="2025-10-31T00:00:00"/>
    <x v="11"/>
  </r>
  <r>
    <s v="ORD00391"/>
    <d v="2025-03-17T00:00:00"/>
    <x v="1"/>
    <x v="1"/>
    <x v="3"/>
    <x v="15"/>
    <x v="1"/>
    <x v="0"/>
    <n v="500"/>
    <n v="2597"/>
    <n v="3583.82"/>
    <n v="1757"/>
    <n v="201"/>
    <n v="8"/>
    <s v="No"/>
    <n v="5621"/>
    <x v="1"/>
    <n v="1791910"/>
    <n v="493410"/>
    <d v="2025-03-17T00:00:00"/>
    <x v="3"/>
  </r>
  <r>
    <s v="ORD00392"/>
    <d v="2025-08-22T00:00:00"/>
    <x v="1"/>
    <x v="4"/>
    <x v="2"/>
    <x v="18"/>
    <x v="2"/>
    <x v="0"/>
    <n v="308"/>
    <n v="4491"/>
    <n v="5883.69"/>
    <n v="1876"/>
    <n v="248"/>
    <n v="10"/>
    <s v="No"/>
    <n v="6605"/>
    <x v="0"/>
    <n v="1812176.52"/>
    <n v="428948.52"/>
    <d v="2025-08-22T00:00:00"/>
    <x v="1"/>
  </r>
  <r>
    <s v="ORD00393"/>
    <d v="2025-07-17T00:00:00"/>
    <x v="3"/>
    <x v="3"/>
    <x v="3"/>
    <x v="16"/>
    <x v="1"/>
    <x v="1"/>
    <n v="16"/>
    <n v="4030"/>
    <n v="5381.88"/>
    <n v="511"/>
    <n v="201"/>
    <n v="10"/>
    <s v="No"/>
    <n v="3872"/>
    <x v="3"/>
    <n v="86110.080000000002"/>
    <n v="21630.080000000002"/>
    <d v="2025-07-17T00:00:00"/>
    <x v="9"/>
  </r>
  <r>
    <s v="ORD00394"/>
    <d v="2025-08-12T00:00:00"/>
    <x v="1"/>
    <x v="4"/>
    <x v="2"/>
    <x v="5"/>
    <x v="1"/>
    <x v="1"/>
    <n v="10"/>
    <n v="2567"/>
    <n v="3243.39"/>
    <n v="1019"/>
    <n v="133"/>
    <n v="5"/>
    <s v="Yes"/>
    <n v="1591"/>
    <x v="1"/>
    <n v="32433.9"/>
    <n v="6763.9"/>
    <d v="2025-08-12T00:00:00"/>
    <x v="1"/>
  </r>
  <r>
    <s v="ORD00395"/>
    <d v="2025-10-24T00:00:00"/>
    <x v="1"/>
    <x v="1"/>
    <x v="0"/>
    <x v="0"/>
    <x v="1"/>
    <x v="2"/>
    <n v="201"/>
    <n v="3940"/>
    <n v="4762.6000000000004"/>
    <n v="360"/>
    <n v="110"/>
    <n v="4"/>
    <s v="Yes"/>
    <n v="1643"/>
    <x v="1"/>
    <n v="957282.6"/>
    <n v="165342.6"/>
    <d v="2025-10-24T00:00:00"/>
    <x v="11"/>
  </r>
  <r>
    <s v="ORD00396"/>
    <d v="2025-10-04T00:00:00"/>
    <x v="1"/>
    <x v="0"/>
    <x v="2"/>
    <x v="10"/>
    <x v="3"/>
    <x v="0"/>
    <n v="278"/>
    <n v="717"/>
    <n v="967.28"/>
    <n v="1885"/>
    <n v="214"/>
    <n v="10"/>
    <s v="No"/>
    <n v="3890"/>
    <x v="1"/>
    <n v="268903.84000000003"/>
    <n v="69577.84"/>
    <d v="2025-10-04T00:00:00"/>
    <x v="11"/>
  </r>
  <r>
    <s v="ORD00397"/>
    <d v="2025-12-26T00:00:00"/>
    <x v="2"/>
    <x v="4"/>
    <x v="0"/>
    <x v="4"/>
    <x v="1"/>
    <x v="0"/>
    <n v="309"/>
    <n v="1345"/>
    <n v="2007.62"/>
    <n v="1318"/>
    <n v="139"/>
    <n v="3"/>
    <s v="Yes"/>
    <n v="1436"/>
    <x v="0"/>
    <n v="620354.57999999996"/>
    <n v="204749.58"/>
    <d v="2025-12-26T00:00:00"/>
    <x v="10"/>
  </r>
  <r>
    <s v="ORD00398"/>
    <d v="2025-02-08T00:00:00"/>
    <x v="0"/>
    <x v="3"/>
    <x v="2"/>
    <x v="10"/>
    <x v="0"/>
    <x v="0"/>
    <n v="197"/>
    <n v="4291"/>
    <n v="5641.15"/>
    <n v="527"/>
    <n v="176"/>
    <n v="4"/>
    <s v="Yes"/>
    <n v="6877"/>
    <x v="1"/>
    <n v="1111306.55"/>
    <n v="265979.55"/>
    <d v="2025-02-08T00:00:00"/>
    <x v="5"/>
  </r>
  <r>
    <s v="ORD00399"/>
    <d v="2025-05-16T00:00:00"/>
    <x v="3"/>
    <x v="2"/>
    <x v="3"/>
    <x v="14"/>
    <x v="1"/>
    <x v="1"/>
    <n v="328"/>
    <n v="3744"/>
    <n v="4690.8999999999996"/>
    <n v="1733"/>
    <n v="136"/>
    <n v="4"/>
    <s v="No"/>
    <n v="1041"/>
    <x v="2"/>
    <n v="1538615.2"/>
    <n v="310583.2"/>
    <d v="2025-05-16T00:00:00"/>
    <x v="2"/>
  </r>
  <r>
    <s v="ORD00400"/>
    <d v="2025-06-03T00:00:00"/>
    <x v="0"/>
    <x v="2"/>
    <x v="1"/>
    <x v="1"/>
    <x v="3"/>
    <x v="1"/>
    <n v="68"/>
    <n v="2377"/>
    <n v="3551.02"/>
    <n v="1326"/>
    <n v="254"/>
    <n v="2"/>
    <s v="No"/>
    <n v="4635"/>
    <x v="0"/>
    <n v="241469.36"/>
    <n v="79833.36"/>
    <d v="2025-06-03T00:00:00"/>
    <x v="7"/>
  </r>
  <r>
    <s v="ORD00401"/>
    <d v="2025-02-15T00:00:00"/>
    <x v="2"/>
    <x v="0"/>
    <x v="3"/>
    <x v="9"/>
    <x v="3"/>
    <x v="2"/>
    <n v="117"/>
    <n v="4817"/>
    <n v="6951.32"/>
    <n v="592"/>
    <n v="144"/>
    <n v="9"/>
    <s v="No"/>
    <n v="5897"/>
    <x v="1"/>
    <n v="813304.44"/>
    <n v="249715.44"/>
    <d v="2025-02-15T00:00:00"/>
    <x v="5"/>
  </r>
  <r>
    <s v="ORD00402"/>
    <d v="2025-09-29T00:00:00"/>
    <x v="2"/>
    <x v="4"/>
    <x v="3"/>
    <x v="6"/>
    <x v="0"/>
    <x v="0"/>
    <n v="73"/>
    <n v="2459"/>
    <n v="3508.08"/>
    <n v="1828"/>
    <n v="257"/>
    <n v="10"/>
    <s v="No"/>
    <n v="549"/>
    <x v="3"/>
    <n v="256089.84"/>
    <n v="76582.84"/>
    <d v="2025-09-29T00:00:00"/>
    <x v="4"/>
  </r>
  <r>
    <s v="ORD00403"/>
    <d v="2025-05-01T00:00:00"/>
    <x v="3"/>
    <x v="4"/>
    <x v="1"/>
    <x v="12"/>
    <x v="2"/>
    <x v="1"/>
    <n v="438"/>
    <n v="322"/>
    <n v="459.28"/>
    <n v="1542"/>
    <n v="150"/>
    <n v="10"/>
    <s v="No"/>
    <n v="7023"/>
    <x v="3"/>
    <n v="201164.64"/>
    <n v="60128.639999999999"/>
    <d v="2025-05-01T00:00:00"/>
    <x v="2"/>
  </r>
  <r>
    <s v="ORD00404"/>
    <d v="2025-01-01T00:00:00"/>
    <x v="1"/>
    <x v="3"/>
    <x v="2"/>
    <x v="10"/>
    <x v="0"/>
    <x v="2"/>
    <n v="180"/>
    <n v="392"/>
    <n v="498.62"/>
    <n v="697"/>
    <n v="124"/>
    <n v="7"/>
    <s v="No"/>
    <n v="5384"/>
    <x v="0"/>
    <n v="89751.6"/>
    <n v="19191.599999999999"/>
    <d v="2025-01-01T00:00:00"/>
    <x v="6"/>
  </r>
  <r>
    <s v="ORD00405"/>
    <d v="2025-12-16T00:00:00"/>
    <x v="3"/>
    <x v="4"/>
    <x v="1"/>
    <x v="7"/>
    <x v="3"/>
    <x v="0"/>
    <n v="355"/>
    <n v="100"/>
    <n v="129.9"/>
    <n v="226"/>
    <n v="146"/>
    <n v="7"/>
    <s v="No"/>
    <n v="3191"/>
    <x v="1"/>
    <n v="46114.5"/>
    <n v="10614.5"/>
    <d v="2025-12-16T00:00:00"/>
    <x v="10"/>
  </r>
  <r>
    <s v="ORD00406"/>
    <d v="2025-12-07T00:00:00"/>
    <x v="2"/>
    <x v="3"/>
    <x v="3"/>
    <x v="15"/>
    <x v="1"/>
    <x v="2"/>
    <n v="198"/>
    <n v="609"/>
    <n v="746.77"/>
    <n v="1769"/>
    <n v="86"/>
    <n v="4"/>
    <s v="Yes"/>
    <n v="5993"/>
    <x v="1"/>
    <n v="147860.46"/>
    <n v="27278.46"/>
    <d v="2025-12-07T00:00:00"/>
    <x v="10"/>
  </r>
  <r>
    <s v="ORD00407"/>
    <d v="2025-03-07T00:00:00"/>
    <x v="3"/>
    <x v="3"/>
    <x v="2"/>
    <x v="18"/>
    <x v="2"/>
    <x v="0"/>
    <n v="390"/>
    <n v="3759"/>
    <n v="5109.41"/>
    <n v="1779"/>
    <n v="275"/>
    <n v="6"/>
    <s v="No"/>
    <n v="3523"/>
    <x v="2"/>
    <n v="1992669.9"/>
    <n v="526659.9"/>
    <d v="2025-03-07T00:00:00"/>
    <x v="3"/>
  </r>
  <r>
    <s v="ORD00408"/>
    <d v="2025-11-07T00:00:00"/>
    <x v="1"/>
    <x v="0"/>
    <x v="0"/>
    <x v="4"/>
    <x v="0"/>
    <x v="1"/>
    <n v="85"/>
    <n v="579"/>
    <n v="856.76"/>
    <n v="164"/>
    <n v="182"/>
    <n v="6"/>
    <s v="No"/>
    <n v="1980"/>
    <x v="2"/>
    <n v="72824.600000000006"/>
    <n v="23609.599999999999"/>
    <d v="2025-11-07T00:00:00"/>
    <x v="0"/>
  </r>
  <r>
    <s v="ORD00409"/>
    <d v="2025-10-15T00:00:00"/>
    <x v="2"/>
    <x v="1"/>
    <x v="0"/>
    <x v="0"/>
    <x v="1"/>
    <x v="1"/>
    <n v="357"/>
    <n v="2818"/>
    <n v="4004.84"/>
    <n v="1089"/>
    <n v="231"/>
    <n v="2"/>
    <s v="Yes"/>
    <n v="2990"/>
    <x v="1"/>
    <n v="1429727.88"/>
    <n v="423701.88"/>
    <d v="2025-10-15T00:00:00"/>
    <x v="11"/>
  </r>
  <r>
    <s v="ORD00410"/>
    <d v="2025-12-26T00:00:00"/>
    <x v="2"/>
    <x v="4"/>
    <x v="1"/>
    <x v="7"/>
    <x v="2"/>
    <x v="0"/>
    <n v="23"/>
    <n v="1999"/>
    <n v="2678.97"/>
    <n v="1375"/>
    <n v="192"/>
    <n v="1"/>
    <s v="Yes"/>
    <n v="2647"/>
    <x v="1"/>
    <n v="61616.31"/>
    <n v="15639.31"/>
    <d v="2025-12-26T00:00:00"/>
    <x v="10"/>
  </r>
  <r>
    <s v="ORD00411"/>
    <d v="2025-12-29T00:00:00"/>
    <x v="1"/>
    <x v="4"/>
    <x v="3"/>
    <x v="9"/>
    <x v="2"/>
    <x v="2"/>
    <n v="28"/>
    <n v="3848"/>
    <n v="4805.8"/>
    <n v="1142"/>
    <n v="242"/>
    <n v="8"/>
    <s v="No"/>
    <n v="6144"/>
    <x v="3"/>
    <n v="134562.4"/>
    <n v="26818.400000000001"/>
    <d v="2025-12-29T00:00:00"/>
    <x v="10"/>
  </r>
  <r>
    <s v="ORD00412"/>
    <d v="2025-11-12T00:00:00"/>
    <x v="0"/>
    <x v="0"/>
    <x v="1"/>
    <x v="1"/>
    <x v="2"/>
    <x v="2"/>
    <n v="301"/>
    <n v="3461"/>
    <n v="4808.96"/>
    <n v="986"/>
    <n v="223"/>
    <n v="3"/>
    <s v="Yes"/>
    <n v="6049"/>
    <x v="1"/>
    <n v="1447496.96"/>
    <n v="405735.96"/>
    <d v="2025-11-12T00:00:00"/>
    <x v="0"/>
  </r>
  <r>
    <s v="ORD00413"/>
    <d v="2025-10-26T00:00:00"/>
    <x v="1"/>
    <x v="2"/>
    <x v="2"/>
    <x v="5"/>
    <x v="3"/>
    <x v="2"/>
    <n v="466"/>
    <n v="2195"/>
    <n v="2981.9"/>
    <n v="1842"/>
    <n v="229"/>
    <n v="4"/>
    <s v="Yes"/>
    <n v="6023"/>
    <x v="1"/>
    <n v="1389565.4"/>
    <n v="366695.4"/>
    <d v="2025-10-26T00:00:00"/>
    <x v="11"/>
  </r>
  <r>
    <s v="ORD00414"/>
    <d v="2025-07-22T00:00:00"/>
    <x v="0"/>
    <x v="0"/>
    <x v="1"/>
    <x v="7"/>
    <x v="0"/>
    <x v="2"/>
    <n v="474"/>
    <n v="4445"/>
    <n v="5296.57"/>
    <n v="1333"/>
    <n v="169"/>
    <n v="6"/>
    <s v="No"/>
    <n v="7523"/>
    <x v="0"/>
    <n v="2510574.1800000002"/>
    <n v="403644.18"/>
    <d v="2025-07-22T00:00:00"/>
    <x v="9"/>
  </r>
  <r>
    <s v="ORD00415"/>
    <d v="2025-04-06T00:00:00"/>
    <x v="3"/>
    <x v="3"/>
    <x v="2"/>
    <x v="5"/>
    <x v="0"/>
    <x v="1"/>
    <n v="287"/>
    <n v="1917"/>
    <n v="2277.39"/>
    <n v="144"/>
    <n v="112"/>
    <n v="5"/>
    <s v="Yes"/>
    <n v="7628"/>
    <x v="0"/>
    <n v="653610.93000000005"/>
    <n v="103431.93"/>
    <d v="2025-04-06T00:00:00"/>
    <x v="8"/>
  </r>
  <r>
    <s v="ORD00416"/>
    <d v="2025-05-08T00:00:00"/>
    <x v="1"/>
    <x v="1"/>
    <x v="0"/>
    <x v="4"/>
    <x v="2"/>
    <x v="0"/>
    <n v="150"/>
    <n v="1850"/>
    <n v="2174.5500000000002"/>
    <n v="402"/>
    <n v="87"/>
    <n v="6"/>
    <s v="No"/>
    <n v="1132"/>
    <x v="3"/>
    <n v="326182.5"/>
    <n v="48682.5"/>
    <d v="2025-05-08T00:00:00"/>
    <x v="2"/>
  </r>
  <r>
    <s v="ORD00417"/>
    <d v="2025-07-20T00:00:00"/>
    <x v="2"/>
    <x v="0"/>
    <x v="2"/>
    <x v="13"/>
    <x v="1"/>
    <x v="2"/>
    <n v="37"/>
    <n v="2833"/>
    <n v="3516.33"/>
    <n v="922"/>
    <n v="217"/>
    <n v="1"/>
    <s v="Yes"/>
    <n v="2731"/>
    <x v="0"/>
    <n v="130104.21"/>
    <n v="25283.21"/>
    <d v="2025-07-20T00:00:00"/>
    <x v="9"/>
  </r>
  <r>
    <s v="ORD00418"/>
    <d v="2025-06-20T00:00:00"/>
    <x v="1"/>
    <x v="3"/>
    <x v="2"/>
    <x v="17"/>
    <x v="1"/>
    <x v="0"/>
    <n v="393"/>
    <n v="1220"/>
    <n v="1759.31"/>
    <n v="1531"/>
    <n v="285"/>
    <n v="10"/>
    <s v="No"/>
    <n v="4552"/>
    <x v="1"/>
    <n v="691408.83"/>
    <n v="211948.83"/>
    <d v="2025-06-20T00:00:00"/>
    <x v="7"/>
  </r>
  <r>
    <s v="ORD00419"/>
    <d v="2025-03-30T00:00:00"/>
    <x v="0"/>
    <x v="0"/>
    <x v="0"/>
    <x v="2"/>
    <x v="0"/>
    <x v="2"/>
    <n v="485"/>
    <n v="2928"/>
    <n v="3487.15"/>
    <n v="454"/>
    <n v="139"/>
    <n v="4"/>
    <s v="Yes"/>
    <n v="5476"/>
    <x v="1"/>
    <n v="1691267.75"/>
    <n v="271187.75"/>
    <d v="2025-03-30T00:00:00"/>
    <x v="3"/>
  </r>
  <r>
    <s v="ORD00420"/>
    <d v="2025-11-27T00:00:00"/>
    <x v="2"/>
    <x v="0"/>
    <x v="1"/>
    <x v="7"/>
    <x v="3"/>
    <x v="2"/>
    <n v="127"/>
    <n v="1999"/>
    <n v="2961.01"/>
    <n v="95"/>
    <n v="266"/>
    <n v="8"/>
    <s v="No"/>
    <n v="4798"/>
    <x v="1"/>
    <n v="376048.27"/>
    <n v="122175.27"/>
    <d v="2025-11-27T00:00:00"/>
    <x v="0"/>
  </r>
  <r>
    <s v="ORD00421"/>
    <d v="2025-09-09T00:00:00"/>
    <x v="2"/>
    <x v="0"/>
    <x v="1"/>
    <x v="11"/>
    <x v="1"/>
    <x v="0"/>
    <n v="458"/>
    <n v="1368"/>
    <n v="1574.39"/>
    <n v="452"/>
    <n v="246"/>
    <n v="5"/>
    <s v="Yes"/>
    <n v="1866"/>
    <x v="1"/>
    <n v="721070.62"/>
    <n v="94526.62"/>
    <d v="2025-09-09T00:00:00"/>
    <x v="4"/>
  </r>
  <r>
    <s v="ORD00422"/>
    <d v="2025-11-20T00:00:00"/>
    <x v="2"/>
    <x v="1"/>
    <x v="0"/>
    <x v="19"/>
    <x v="2"/>
    <x v="2"/>
    <n v="220"/>
    <n v="2780"/>
    <n v="3577.21"/>
    <n v="1792"/>
    <n v="127"/>
    <n v="1"/>
    <s v="Yes"/>
    <n v="3485"/>
    <x v="1"/>
    <n v="786986.2"/>
    <n v="175386.2"/>
    <d v="2025-11-20T00:00:00"/>
    <x v="0"/>
  </r>
  <r>
    <s v="ORD00423"/>
    <d v="2025-05-23T00:00:00"/>
    <x v="1"/>
    <x v="3"/>
    <x v="0"/>
    <x v="0"/>
    <x v="0"/>
    <x v="1"/>
    <n v="57"/>
    <n v="3788"/>
    <n v="4401.75"/>
    <n v="1532"/>
    <n v="217"/>
    <n v="6"/>
    <s v="No"/>
    <n v="6991"/>
    <x v="0"/>
    <n v="250899.75"/>
    <n v="34983.75"/>
    <d v="2025-05-23T00:00:00"/>
    <x v="2"/>
  </r>
  <r>
    <s v="ORD00424"/>
    <d v="2025-03-06T00:00:00"/>
    <x v="1"/>
    <x v="0"/>
    <x v="2"/>
    <x v="18"/>
    <x v="1"/>
    <x v="2"/>
    <n v="13"/>
    <n v="4607"/>
    <n v="5327.04"/>
    <n v="1885"/>
    <n v="234"/>
    <n v="9"/>
    <s v="No"/>
    <n v="2184"/>
    <x v="3"/>
    <n v="69251.520000000004"/>
    <n v="9360.52"/>
    <d v="2025-03-06T00:00:00"/>
    <x v="3"/>
  </r>
  <r>
    <s v="ORD00425"/>
    <d v="2025-04-07T00:00:00"/>
    <x v="0"/>
    <x v="1"/>
    <x v="0"/>
    <x v="19"/>
    <x v="0"/>
    <x v="0"/>
    <n v="175"/>
    <n v="4655"/>
    <n v="5697.11"/>
    <n v="1940"/>
    <n v="89"/>
    <n v="2"/>
    <s v="Yes"/>
    <n v="2838"/>
    <x v="1"/>
    <n v="996994.25"/>
    <n v="182369.25"/>
    <d v="2025-04-07T00:00:00"/>
    <x v="8"/>
  </r>
  <r>
    <s v="ORD00426"/>
    <d v="2025-06-14T00:00:00"/>
    <x v="3"/>
    <x v="4"/>
    <x v="0"/>
    <x v="8"/>
    <x v="2"/>
    <x v="0"/>
    <n v="374"/>
    <n v="3231"/>
    <n v="3948.89"/>
    <n v="167"/>
    <n v="209"/>
    <n v="9"/>
    <s v="No"/>
    <n v="5112"/>
    <x v="1"/>
    <n v="1476884.86"/>
    <n v="268490.86"/>
    <d v="2025-06-14T00:00:00"/>
    <x v="7"/>
  </r>
  <r>
    <s v="ORD00427"/>
    <d v="2025-03-13T00:00:00"/>
    <x v="0"/>
    <x v="1"/>
    <x v="0"/>
    <x v="2"/>
    <x v="3"/>
    <x v="2"/>
    <n v="473"/>
    <n v="846"/>
    <n v="1067.47"/>
    <n v="591"/>
    <n v="252"/>
    <n v="5"/>
    <s v="Yes"/>
    <n v="5447"/>
    <x v="1"/>
    <n v="504913.31"/>
    <n v="104755.31"/>
    <d v="2025-03-13T00:00:00"/>
    <x v="3"/>
  </r>
  <r>
    <s v="ORD00428"/>
    <d v="2025-09-13T00:00:00"/>
    <x v="1"/>
    <x v="2"/>
    <x v="0"/>
    <x v="19"/>
    <x v="1"/>
    <x v="2"/>
    <n v="93"/>
    <n v="2144"/>
    <n v="2607.37"/>
    <n v="1982"/>
    <n v="110"/>
    <n v="9"/>
    <s v="No"/>
    <n v="2133"/>
    <x v="0"/>
    <n v="242485.41"/>
    <n v="43093.41"/>
    <d v="2025-09-13T00:00:00"/>
    <x v="4"/>
  </r>
  <r>
    <s v="ORD00429"/>
    <d v="2025-10-13T00:00:00"/>
    <x v="1"/>
    <x v="2"/>
    <x v="1"/>
    <x v="1"/>
    <x v="0"/>
    <x v="0"/>
    <n v="469"/>
    <n v="1912"/>
    <n v="2593.88"/>
    <n v="1670"/>
    <n v="166"/>
    <n v="4"/>
    <s v="Yes"/>
    <n v="7642"/>
    <x v="1"/>
    <n v="1216529.72"/>
    <n v="319801.71999999997"/>
    <d v="2025-10-13T00:00:00"/>
    <x v="11"/>
  </r>
  <r>
    <s v="ORD00430"/>
    <d v="2025-11-28T00:00:00"/>
    <x v="1"/>
    <x v="3"/>
    <x v="0"/>
    <x v="0"/>
    <x v="2"/>
    <x v="0"/>
    <n v="436"/>
    <n v="410"/>
    <n v="491.18"/>
    <n v="1958"/>
    <n v="203"/>
    <n v="2"/>
    <s v="Yes"/>
    <n v="1178"/>
    <x v="1"/>
    <n v="214154.48"/>
    <n v="35394.480000000003"/>
    <d v="2025-11-28T00:00:00"/>
    <x v="0"/>
  </r>
  <r>
    <s v="ORD00431"/>
    <d v="2025-12-15T00:00:00"/>
    <x v="2"/>
    <x v="0"/>
    <x v="0"/>
    <x v="19"/>
    <x v="3"/>
    <x v="2"/>
    <n v="34"/>
    <n v="805"/>
    <n v="1166.58"/>
    <n v="709"/>
    <n v="192"/>
    <n v="8"/>
    <s v="No"/>
    <n v="2607"/>
    <x v="1"/>
    <n v="39663.72"/>
    <n v="12293.72"/>
    <d v="2025-12-15T00:00:00"/>
    <x v="10"/>
  </r>
  <r>
    <s v="ORD00432"/>
    <d v="2025-12-23T00:00:00"/>
    <x v="0"/>
    <x v="0"/>
    <x v="2"/>
    <x v="17"/>
    <x v="1"/>
    <x v="0"/>
    <n v="211"/>
    <n v="3327"/>
    <n v="4661.41"/>
    <n v="1191"/>
    <n v="177"/>
    <n v="10"/>
    <s v="No"/>
    <n v="4729"/>
    <x v="3"/>
    <n v="983557.51"/>
    <n v="281560.51"/>
    <d v="2025-12-23T00:00:00"/>
    <x v="10"/>
  </r>
  <r>
    <s v="ORD00433"/>
    <d v="2025-01-22T00:00:00"/>
    <x v="2"/>
    <x v="1"/>
    <x v="3"/>
    <x v="9"/>
    <x v="2"/>
    <x v="1"/>
    <n v="147"/>
    <n v="4713"/>
    <n v="6103.3"/>
    <n v="1112"/>
    <n v="276"/>
    <n v="9"/>
    <s v="No"/>
    <n v="3128"/>
    <x v="1"/>
    <n v="897185.1"/>
    <n v="204374.1"/>
    <d v="2025-01-22T00:00:00"/>
    <x v="6"/>
  </r>
  <r>
    <s v="ORD00434"/>
    <d v="2025-10-23T00:00:00"/>
    <x v="1"/>
    <x v="0"/>
    <x v="2"/>
    <x v="10"/>
    <x v="0"/>
    <x v="0"/>
    <n v="303"/>
    <n v="3479"/>
    <n v="4927.66"/>
    <n v="1432"/>
    <n v="185"/>
    <n v="10"/>
    <s v="No"/>
    <n v="2796"/>
    <x v="1"/>
    <n v="1493080.98"/>
    <n v="438943.98"/>
    <d v="2025-10-23T00:00:00"/>
    <x v="11"/>
  </r>
  <r>
    <s v="ORD00435"/>
    <d v="2025-05-16T00:00:00"/>
    <x v="2"/>
    <x v="4"/>
    <x v="0"/>
    <x v="4"/>
    <x v="0"/>
    <x v="0"/>
    <n v="447"/>
    <n v="3370"/>
    <n v="4838.3999999999996"/>
    <n v="1310"/>
    <n v="216"/>
    <n v="6"/>
    <s v="No"/>
    <n v="5375"/>
    <x v="0"/>
    <n v="2162764.7999999998"/>
    <n v="656374.80000000005"/>
    <d v="2025-05-16T00:00:00"/>
    <x v="2"/>
  </r>
  <r>
    <s v="ORD00436"/>
    <d v="2025-11-24T00:00:00"/>
    <x v="0"/>
    <x v="4"/>
    <x v="0"/>
    <x v="19"/>
    <x v="3"/>
    <x v="0"/>
    <n v="199"/>
    <n v="1930"/>
    <n v="2409.02"/>
    <n v="1377"/>
    <n v="186"/>
    <n v="8"/>
    <s v="No"/>
    <n v="6534"/>
    <x v="1"/>
    <n v="479394.98"/>
    <n v="95324.98"/>
    <d v="2025-11-24T00:00:00"/>
    <x v="0"/>
  </r>
  <r>
    <s v="ORD00437"/>
    <d v="2025-07-16T00:00:00"/>
    <x v="3"/>
    <x v="2"/>
    <x v="1"/>
    <x v="3"/>
    <x v="2"/>
    <x v="2"/>
    <n v="490"/>
    <n v="1353"/>
    <n v="1829.15"/>
    <n v="401"/>
    <n v="282"/>
    <n v="10"/>
    <s v="No"/>
    <n v="5511"/>
    <x v="3"/>
    <n v="896283.5"/>
    <n v="233313.5"/>
    <d v="2025-07-16T00:00:00"/>
    <x v="9"/>
  </r>
  <r>
    <s v="ORD00438"/>
    <d v="2025-01-08T00:00:00"/>
    <x v="3"/>
    <x v="1"/>
    <x v="0"/>
    <x v="2"/>
    <x v="3"/>
    <x v="0"/>
    <n v="209"/>
    <n v="4919"/>
    <n v="5694.16"/>
    <n v="1031"/>
    <n v="181"/>
    <n v="3"/>
    <s v="Yes"/>
    <n v="7913"/>
    <x v="1"/>
    <n v="1190079.44"/>
    <n v="162008.44"/>
    <d v="2025-01-08T00:00:00"/>
    <x v="6"/>
  </r>
  <r>
    <s v="ORD00439"/>
    <d v="2025-06-04T00:00:00"/>
    <x v="0"/>
    <x v="1"/>
    <x v="2"/>
    <x v="13"/>
    <x v="2"/>
    <x v="1"/>
    <n v="122"/>
    <n v="1884"/>
    <n v="2225.09"/>
    <n v="1435"/>
    <n v="167"/>
    <n v="9"/>
    <s v="No"/>
    <n v="6857"/>
    <x v="2"/>
    <n v="271460.98"/>
    <n v="41612.980000000003"/>
    <d v="2025-06-04T00:00:00"/>
    <x v="7"/>
  </r>
  <r>
    <s v="ORD00440"/>
    <d v="2025-12-03T00:00:00"/>
    <x v="0"/>
    <x v="0"/>
    <x v="3"/>
    <x v="15"/>
    <x v="1"/>
    <x v="2"/>
    <n v="372"/>
    <n v="816"/>
    <n v="1040.53"/>
    <n v="223"/>
    <n v="203"/>
    <n v="3"/>
    <s v="Yes"/>
    <n v="2687"/>
    <x v="1"/>
    <n v="387077.16"/>
    <n v="83525.16"/>
    <d v="2025-12-03T00:00:00"/>
    <x v="10"/>
  </r>
  <r>
    <s v="ORD00441"/>
    <d v="2025-02-23T00:00:00"/>
    <x v="0"/>
    <x v="0"/>
    <x v="1"/>
    <x v="3"/>
    <x v="1"/>
    <x v="1"/>
    <n v="122"/>
    <n v="4924"/>
    <n v="5884.76"/>
    <n v="167"/>
    <n v="241"/>
    <n v="4"/>
    <s v="Yes"/>
    <n v="5575"/>
    <x v="0"/>
    <n v="717940.72"/>
    <n v="117212.72"/>
    <d v="2025-02-23T00:00:00"/>
    <x v="5"/>
  </r>
  <r>
    <s v="ORD00442"/>
    <d v="2025-06-02T00:00:00"/>
    <x v="0"/>
    <x v="0"/>
    <x v="1"/>
    <x v="7"/>
    <x v="1"/>
    <x v="0"/>
    <n v="317"/>
    <n v="4750"/>
    <n v="6696.64"/>
    <n v="970"/>
    <n v="252"/>
    <n v="1"/>
    <s v="Yes"/>
    <n v="928"/>
    <x v="1"/>
    <n v="2122834.88"/>
    <n v="617084.88"/>
    <d v="2025-06-02T00:00:00"/>
    <x v="7"/>
  </r>
  <r>
    <s v="ORD00443"/>
    <d v="2025-10-04T00:00:00"/>
    <x v="0"/>
    <x v="3"/>
    <x v="1"/>
    <x v="7"/>
    <x v="0"/>
    <x v="2"/>
    <n v="249"/>
    <n v="1455"/>
    <n v="2006.98"/>
    <n v="1652"/>
    <n v="216"/>
    <n v="3"/>
    <s v="Yes"/>
    <n v="4378"/>
    <x v="1"/>
    <n v="499738.02"/>
    <n v="137443.01999999999"/>
    <d v="2025-10-04T00:00:00"/>
    <x v="11"/>
  </r>
  <r>
    <s v="ORD00444"/>
    <d v="2025-03-09T00:00:00"/>
    <x v="2"/>
    <x v="2"/>
    <x v="0"/>
    <x v="0"/>
    <x v="1"/>
    <x v="0"/>
    <n v="186"/>
    <n v="2589"/>
    <n v="3768.87"/>
    <n v="1174"/>
    <n v="174"/>
    <n v="4"/>
    <s v="Yes"/>
    <n v="3986"/>
    <x v="0"/>
    <n v="701009.82"/>
    <n v="219455.82"/>
    <d v="2025-03-09T00:00:00"/>
    <x v="3"/>
  </r>
  <r>
    <s v="ORD00445"/>
    <d v="2025-10-29T00:00:00"/>
    <x v="1"/>
    <x v="0"/>
    <x v="3"/>
    <x v="6"/>
    <x v="0"/>
    <x v="0"/>
    <n v="53"/>
    <n v="4548"/>
    <n v="6657.67"/>
    <n v="1154"/>
    <n v="235"/>
    <n v="1"/>
    <s v="Yes"/>
    <n v="3329"/>
    <x v="1"/>
    <n v="352856.51"/>
    <n v="111812.51"/>
    <d v="2025-10-29T00:00:00"/>
    <x v="11"/>
  </r>
  <r>
    <s v="ORD00446"/>
    <d v="2025-07-26T00:00:00"/>
    <x v="2"/>
    <x v="3"/>
    <x v="3"/>
    <x v="15"/>
    <x v="2"/>
    <x v="1"/>
    <n v="129"/>
    <n v="3654"/>
    <n v="5009.59"/>
    <n v="1894"/>
    <n v="277"/>
    <n v="2"/>
    <s v="Yes"/>
    <n v="7727"/>
    <x v="1"/>
    <n v="646237.11"/>
    <n v="174871.11"/>
    <d v="2025-07-26T00:00:00"/>
    <x v="9"/>
  </r>
  <r>
    <s v="ORD00447"/>
    <d v="2025-11-16T00:00:00"/>
    <x v="2"/>
    <x v="3"/>
    <x v="1"/>
    <x v="3"/>
    <x v="2"/>
    <x v="0"/>
    <n v="153"/>
    <n v="560"/>
    <n v="810.6"/>
    <n v="1795"/>
    <n v="277"/>
    <n v="6"/>
    <s v="No"/>
    <n v="6069"/>
    <x v="0"/>
    <n v="124021.8"/>
    <n v="38341.800000000003"/>
    <d v="2025-11-16T00:00:00"/>
    <x v="0"/>
  </r>
  <r>
    <s v="ORD00448"/>
    <d v="2025-02-10T00:00:00"/>
    <x v="2"/>
    <x v="0"/>
    <x v="0"/>
    <x v="0"/>
    <x v="2"/>
    <x v="2"/>
    <n v="101"/>
    <n v="3329"/>
    <n v="4148.41"/>
    <n v="593"/>
    <n v="100"/>
    <n v="3"/>
    <s v="Yes"/>
    <n v="710"/>
    <x v="1"/>
    <n v="418989.41"/>
    <n v="82760.41"/>
    <d v="2025-02-10T00:00:00"/>
    <x v="5"/>
  </r>
  <r>
    <s v="ORD00449"/>
    <d v="2025-09-24T00:00:00"/>
    <x v="0"/>
    <x v="1"/>
    <x v="2"/>
    <x v="13"/>
    <x v="2"/>
    <x v="1"/>
    <n v="241"/>
    <n v="4039"/>
    <n v="5580.38"/>
    <n v="350"/>
    <n v="256"/>
    <n v="10"/>
    <s v="No"/>
    <n v="5048"/>
    <x v="1"/>
    <n v="1344871.58"/>
    <n v="371472.58"/>
    <d v="2025-09-24T00:00:00"/>
    <x v="4"/>
  </r>
  <r>
    <s v="ORD00450"/>
    <d v="2025-02-13T00:00:00"/>
    <x v="0"/>
    <x v="1"/>
    <x v="1"/>
    <x v="3"/>
    <x v="1"/>
    <x v="1"/>
    <n v="127"/>
    <n v="1428"/>
    <n v="1863.74"/>
    <n v="893"/>
    <n v="232"/>
    <n v="7"/>
    <s v="No"/>
    <n v="5407"/>
    <x v="0"/>
    <n v="236694.98"/>
    <n v="55338.98"/>
    <d v="2025-02-13T00:00:00"/>
    <x v="5"/>
  </r>
  <r>
    <s v="ORD00451"/>
    <d v="2025-02-18T00:00:00"/>
    <x v="1"/>
    <x v="1"/>
    <x v="3"/>
    <x v="9"/>
    <x v="3"/>
    <x v="1"/>
    <n v="212"/>
    <n v="3920"/>
    <n v="5519"/>
    <n v="463"/>
    <n v="184"/>
    <n v="2"/>
    <s v="Yes"/>
    <n v="1092"/>
    <x v="1"/>
    <n v="1170028"/>
    <n v="338988"/>
    <d v="2025-02-18T00:00:00"/>
    <x v="5"/>
  </r>
  <r>
    <s v="ORD00452"/>
    <d v="2025-09-21T00:00:00"/>
    <x v="0"/>
    <x v="1"/>
    <x v="2"/>
    <x v="10"/>
    <x v="2"/>
    <x v="0"/>
    <n v="379"/>
    <n v="2827"/>
    <n v="3530.85"/>
    <n v="1484"/>
    <n v="203"/>
    <n v="5"/>
    <s v="Yes"/>
    <n v="4045"/>
    <x v="1"/>
    <n v="1338192.1499999999"/>
    <n v="266759.15000000002"/>
    <d v="2025-09-21T00:00:00"/>
    <x v="4"/>
  </r>
  <r>
    <s v="ORD00453"/>
    <d v="2025-04-09T00:00:00"/>
    <x v="0"/>
    <x v="3"/>
    <x v="0"/>
    <x v="8"/>
    <x v="3"/>
    <x v="0"/>
    <n v="129"/>
    <n v="2743"/>
    <n v="3290.78"/>
    <n v="1707"/>
    <n v="270"/>
    <n v="9"/>
    <s v="No"/>
    <n v="4682"/>
    <x v="2"/>
    <n v="424510.62"/>
    <n v="70663.62"/>
    <d v="2025-04-09T00:00:00"/>
    <x v="8"/>
  </r>
  <r>
    <s v="ORD00454"/>
    <d v="2025-10-04T00:00:00"/>
    <x v="3"/>
    <x v="4"/>
    <x v="0"/>
    <x v="0"/>
    <x v="0"/>
    <x v="0"/>
    <n v="356"/>
    <n v="4643"/>
    <n v="5628.14"/>
    <n v="1079"/>
    <n v="263"/>
    <n v="2"/>
    <s v="No"/>
    <n v="2870"/>
    <x v="0"/>
    <n v="2003617.84"/>
    <n v="350709.84"/>
    <d v="2025-10-04T00:00:00"/>
    <x v="11"/>
  </r>
  <r>
    <s v="ORD00455"/>
    <d v="2025-09-17T00:00:00"/>
    <x v="2"/>
    <x v="0"/>
    <x v="1"/>
    <x v="11"/>
    <x v="2"/>
    <x v="2"/>
    <n v="88"/>
    <n v="1784"/>
    <n v="2322.92"/>
    <n v="1498"/>
    <n v="224"/>
    <n v="3"/>
    <s v="Yes"/>
    <n v="688"/>
    <x v="1"/>
    <n v="204416.96"/>
    <n v="47424.959999999999"/>
    <d v="2025-09-17T00:00:00"/>
    <x v="4"/>
  </r>
  <r>
    <s v="ORD00456"/>
    <d v="2025-11-18T00:00:00"/>
    <x v="0"/>
    <x v="2"/>
    <x v="1"/>
    <x v="1"/>
    <x v="0"/>
    <x v="1"/>
    <n v="106"/>
    <n v="987"/>
    <n v="1386.95"/>
    <n v="757"/>
    <n v="135"/>
    <n v="4"/>
    <s v="Yes"/>
    <n v="1050"/>
    <x v="1"/>
    <n v="147016.70000000001"/>
    <n v="42394.7"/>
    <d v="2025-11-18T00:00:00"/>
    <x v="0"/>
  </r>
  <r>
    <s v="ORD00457"/>
    <d v="2025-07-19T00:00:00"/>
    <x v="3"/>
    <x v="0"/>
    <x v="3"/>
    <x v="9"/>
    <x v="2"/>
    <x v="2"/>
    <n v="368"/>
    <n v="4819"/>
    <n v="6188.61"/>
    <n v="1018"/>
    <n v="248"/>
    <n v="3"/>
    <s v="Yes"/>
    <n v="6439"/>
    <x v="1"/>
    <n v="2277408.48"/>
    <n v="504016.48"/>
    <d v="2025-07-19T00:00:00"/>
    <x v="9"/>
  </r>
  <r>
    <s v="ORD00458"/>
    <d v="2025-05-11T00:00:00"/>
    <x v="0"/>
    <x v="4"/>
    <x v="1"/>
    <x v="7"/>
    <x v="3"/>
    <x v="0"/>
    <n v="364"/>
    <n v="2740"/>
    <n v="3843.75"/>
    <n v="1089"/>
    <n v="263"/>
    <n v="6"/>
    <s v="No"/>
    <n v="4445"/>
    <x v="2"/>
    <n v="1399125"/>
    <n v="401765"/>
    <d v="2025-05-11T00:00:00"/>
    <x v="2"/>
  </r>
  <r>
    <s v="ORD00459"/>
    <d v="2025-10-13T00:00:00"/>
    <x v="3"/>
    <x v="2"/>
    <x v="2"/>
    <x v="10"/>
    <x v="3"/>
    <x v="0"/>
    <n v="434"/>
    <n v="3805"/>
    <n v="4973.72"/>
    <n v="1851"/>
    <n v="188"/>
    <n v="2"/>
    <s v="Yes"/>
    <n v="381"/>
    <x v="1"/>
    <n v="2158594.48"/>
    <n v="507224.48"/>
    <d v="2025-10-13T00:00:00"/>
    <x v="11"/>
  </r>
  <r>
    <s v="ORD00460"/>
    <d v="2025-03-14T00:00:00"/>
    <x v="1"/>
    <x v="2"/>
    <x v="2"/>
    <x v="17"/>
    <x v="0"/>
    <x v="0"/>
    <n v="378"/>
    <n v="2913"/>
    <n v="3544.45"/>
    <n v="846"/>
    <n v="129"/>
    <n v="3"/>
    <s v="Yes"/>
    <n v="6989"/>
    <x v="1"/>
    <n v="1339802.1000000001"/>
    <n v="238688.1"/>
    <d v="2025-03-14T00:00:00"/>
    <x v="3"/>
  </r>
  <r>
    <s v="ORD00461"/>
    <d v="2025-03-13T00:00:00"/>
    <x v="3"/>
    <x v="2"/>
    <x v="3"/>
    <x v="9"/>
    <x v="1"/>
    <x v="1"/>
    <n v="267"/>
    <n v="2540"/>
    <n v="2993.46"/>
    <n v="1026"/>
    <n v="172"/>
    <n v="2"/>
    <s v="Yes"/>
    <n v="2842"/>
    <x v="1"/>
    <n v="799253.82"/>
    <n v="121073.82"/>
    <d v="2025-03-13T00:00:00"/>
    <x v="3"/>
  </r>
  <r>
    <s v="ORD00462"/>
    <d v="2025-07-01T00:00:00"/>
    <x v="2"/>
    <x v="0"/>
    <x v="2"/>
    <x v="10"/>
    <x v="2"/>
    <x v="0"/>
    <n v="114"/>
    <n v="735"/>
    <n v="892.09"/>
    <n v="937"/>
    <n v="233"/>
    <n v="10"/>
    <s v="No"/>
    <n v="6720"/>
    <x v="1"/>
    <n v="101698.26"/>
    <n v="17908.259999999998"/>
    <d v="2025-07-01T00:00:00"/>
    <x v="9"/>
  </r>
  <r>
    <s v="ORD00463"/>
    <d v="2025-10-19T00:00:00"/>
    <x v="0"/>
    <x v="1"/>
    <x v="0"/>
    <x v="0"/>
    <x v="1"/>
    <x v="1"/>
    <n v="127"/>
    <n v="1288"/>
    <n v="1741.69"/>
    <n v="1911"/>
    <n v="282"/>
    <n v="2"/>
    <s v="No"/>
    <n v="6125"/>
    <x v="3"/>
    <n v="221194.63"/>
    <n v="57618.63"/>
    <d v="2025-10-19T00:00:00"/>
    <x v="11"/>
  </r>
  <r>
    <s v="ORD00464"/>
    <d v="2025-03-01T00:00:00"/>
    <x v="3"/>
    <x v="2"/>
    <x v="0"/>
    <x v="8"/>
    <x v="3"/>
    <x v="1"/>
    <n v="218"/>
    <n v="3147"/>
    <n v="3957.49"/>
    <n v="1597"/>
    <n v="94"/>
    <n v="6"/>
    <s v="No"/>
    <n v="3416"/>
    <x v="3"/>
    <n v="862732.82"/>
    <n v="176686.82"/>
    <d v="2025-03-01T00:00:00"/>
    <x v="3"/>
  </r>
  <r>
    <s v="ORD00465"/>
    <d v="2025-03-13T00:00:00"/>
    <x v="0"/>
    <x v="1"/>
    <x v="3"/>
    <x v="16"/>
    <x v="2"/>
    <x v="1"/>
    <n v="301"/>
    <n v="2485"/>
    <n v="3206.06"/>
    <n v="1711"/>
    <n v="216"/>
    <n v="4"/>
    <s v="Yes"/>
    <n v="5316"/>
    <x v="1"/>
    <n v="965024.06"/>
    <n v="217039.06"/>
    <d v="2025-03-13T00:00:00"/>
    <x v="3"/>
  </r>
  <r>
    <s v="ORD00466"/>
    <d v="2025-07-11T00:00:00"/>
    <x v="2"/>
    <x v="4"/>
    <x v="2"/>
    <x v="13"/>
    <x v="2"/>
    <x v="1"/>
    <n v="278"/>
    <n v="4743"/>
    <n v="6216.5"/>
    <n v="246"/>
    <n v="279"/>
    <n v="7"/>
    <s v="No"/>
    <n v="3877"/>
    <x v="0"/>
    <n v="1728187"/>
    <n v="409633"/>
    <d v="2025-07-11T00:00:00"/>
    <x v="9"/>
  </r>
  <r>
    <s v="ORD00467"/>
    <d v="2025-07-27T00:00:00"/>
    <x v="2"/>
    <x v="3"/>
    <x v="2"/>
    <x v="13"/>
    <x v="0"/>
    <x v="2"/>
    <n v="463"/>
    <n v="1953"/>
    <n v="2822.42"/>
    <n v="822"/>
    <n v="195"/>
    <n v="3"/>
    <s v="Yes"/>
    <n v="6284"/>
    <x v="1"/>
    <n v="1306780.46"/>
    <n v="402541.46"/>
    <d v="2025-07-27T00:00:00"/>
    <x v="9"/>
  </r>
  <r>
    <s v="ORD00468"/>
    <d v="2025-12-08T00:00:00"/>
    <x v="3"/>
    <x v="1"/>
    <x v="2"/>
    <x v="5"/>
    <x v="1"/>
    <x v="1"/>
    <n v="83"/>
    <n v="2626"/>
    <n v="3590.7"/>
    <n v="1152"/>
    <n v="291"/>
    <n v="10"/>
    <s v="No"/>
    <n v="826"/>
    <x v="3"/>
    <n v="298028.09999999998"/>
    <n v="80070.100000000006"/>
    <d v="2025-12-08T00:00:00"/>
    <x v="10"/>
  </r>
  <r>
    <s v="ORD00469"/>
    <d v="2025-08-19T00:00:00"/>
    <x v="3"/>
    <x v="2"/>
    <x v="2"/>
    <x v="10"/>
    <x v="0"/>
    <x v="0"/>
    <n v="242"/>
    <n v="960"/>
    <n v="1387.78"/>
    <n v="257"/>
    <n v="230"/>
    <n v="9"/>
    <s v="No"/>
    <n v="6873"/>
    <x v="2"/>
    <n v="335842.76"/>
    <n v="103522.76"/>
    <d v="2025-08-19T00:00:00"/>
    <x v="1"/>
  </r>
  <r>
    <s v="ORD00470"/>
    <d v="2025-02-07T00:00:00"/>
    <x v="0"/>
    <x v="1"/>
    <x v="0"/>
    <x v="19"/>
    <x v="2"/>
    <x v="0"/>
    <n v="388"/>
    <n v="336"/>
    <n v="420.76"/>
    <n v="1944"/>
    <n v="101"/>
    <n v="9"/>
    <s v="No"/>
    <n v="6723"/>
    <x v="3"/>
    <n v="163254.88"/>
    <n v="32886.879999999997"/>
    <d v="2025-02-07T00:00:00"/>
    <x v="5"/>
  </r>
  <r>
    <s v="ORD00471"/>
    <d v="2025-01-09T00:00:00"/>
    <x v="2"/>
    <x v="3"/>
    <x v="0"/>
    <x v="8"/>
    <x v="0"/>
    <x v="0"/>
    <n v="266"/>
    <n v="3180"/>
    <n v="4457.1899999999996"/>
    <n v="1325"/>
    <n v="220"/>
    <n v="8"/>
    <s v="No"/>
    <n v="7819"/>
    <x v="2"/>
    <n v="1185612.54"/>
    <n v="339732.54"/>
    <d v="2025-01-09T00:00:00"/>
    <x v="6"/>
  </r>
  <r>
    <s v="ORD00472"/>
    <d v="2025-08-21T00:00:00"/>
    <x v="3"/>
    <x v="4"/>
    <x v="1"/>
    <x v="3"/>
    <x v="1"/>
    <x v="1"/>
    <n v="429"/>
    <n v="4881"/>
    <n v="7062.41"/>
    <n v="1710"/>
    <n v="179"/>
    <n v="2"/>
    <s v="Yes"/>
    <n v="7464"/>
    <x v="1"/>
    <n v="3029773.89"/>
    <n v="935824.89"/>
    <d v="2025-08-21T00:00:00"/>
    <x v="1"/>
  </r>
  <r>
    <s v="ORD00473"/>
    <d v="2025-06-24T00:00:00"/>
    <x v="1"/>
    <x v="2"/>
    <x v="2"/>
    <x v="17"/>
    <x v="2"/>
    <x v="1"/>
    <n v="200"/>
    <n v="247"/>
    <n v="367.97"/>
    <n v="795"/>
    <n v="215"/>
    <n v="3"/>
    <s v="Yes"/>
    <n v="3606"/>
    <x v="1"/>
    <n v="73594"/>
    <n v="24194"/>
    <d v="2025-06-24T00:00:00"/>
    <x v="7"/>
  </r>
  <r>
    <s v="ORD00474"/>
    <d v="2025-03-01T00:00:00"/>
    <x v="1"/>
    <x v="3"/>
    <x v="2"/>
    <x v="18"/>
    <x v="0"/>
    <x v="1"/>
    <n v="320"/>
    <n v="4860"/>
    <n v="5746.35"/>
    <n v="199"/>
    <n v="183"/>
    <n v="1"/>
    <s v="Yes"/>
    <n v="6405"/>
    <x v="0"/>
    <n v="1838832"/>
    <n v="283632"/>
    <d v="2025-03-01T00:00:00"/>
    <x v="3"/>
  </r>
  <r>
    <s v="ORD00475"/>
    <d v="2025-11-07T00:00:00"/>
    <x v="1"/>
    <x v="3"/>
    <x v="3"/>
    <x v="6"/>
    <x v="3"/>
    <x v="2"/>
    <n v="443"/>
    <n v="2494"/>
    <n v="3534.13"/>
    <n v="173"/>
    <n v="285"/>
    <n v="3"/>
    <s v="Yes"/>
    <n v="2528"/>
    <x v="0"/>
    <n v="1565619.59"/>
    <n v="460777.59"/>
    <d v="2025-11-07T00:00:00"/>
    <x v="0"/>
  </r>
  <r>
    <s v="ORD00476"/>
    <d v="2025-11-20T00:00:00"/>
    <x v="0"/>
    <x v="3"/>
    <x v="3"/>
    <x v="15"/>
    <x v="3"/>
    <x v="0"/>
    <n v="46"/>
    <n v="2949"/>
    <n v="3667.24"/>
    <n v="1324"/>
    <n v="234"/>
    <n v="2"/>
    <s v="Yes"/>
    <n v="5420"/>
    <x v="0"/>
    <n v="168693.04"/>
    <n v="33039.040000000001"/>
    <d v="2025-11-20T00:00:00"/>
    <x v="0"/>
  </r>
  <r>
    <s v="ORD00477"/>
    <d v="2025-12-13T00:00:00"/>
    <x v="2"/>
    <x v="0"/>
    <x v="3"/>
    <x v="6"/>
    <x v="3"/>
    <x v="0"/>
    <n v="78"/>
    <n v="2640"/>
    <n v="3569.04"/>
    <n v="197"/>
    <n v="151"/>
    <n v="1"/>
    <s v="Yes"/>
    <n v="7617"/>
    <x v="1"/>
    <n v="278385.12"/>
    <n v="72465.119999999995"/>
    <d v="2025-12-13T00:00:00"/>
    <x v="10"/>
  </r>
  <r>
    <s v="ORD00478"/>
    <d v="2025-09-28T00:00:00"/>
    <x v="0"/>
    <x v="1"/>
    <x v="2"/>
    <x v="10"/>
    <x v="1"/>
    <x v="0"/>
    <n v="439"/>
    <n v="688"/>
    <n v="886.21"/>
    <n v="1098"/>
    <n v="251"/>
    <n v="8"/>
    <s v="No"/>
    <n v="1112"/>
    <x v="2"/>
    <n v="389046.19"/>
    <n v="87014.19"/>
    <d v="2025-09-28T00:00:00"/>
    <x v="4"/>
  </r>
  <r>
    <s v="ORD00479"/>
    <d v="2025-08-26T00:00:00"/>
    <x v="3"/>
    <x v="0"/>
    <x v="3"/>
    <x v="14"/>
    <x v="3"/>
    <x v="1"/>
    <n v="121"/>
    <n v="3240"/>
    <n v="4780.71"/>
    <n v="1066"/>
    <n v="169"/>
    <n v="1"/>
    <s v="Yes"/>
    <n v="1151"/>
    <x v="1"/>
    <n v="578465.91"/>
    <n v="186425.91"/>
    <d v="2025-08-26T00:00:00"/>
    <x v="1"/>
  </r>
  <r>
    <s v="ORD00480"/>
    <d v="2025-06-13T00:00:00"/>
    <x v="2"/>
    <x v="3"/>
    <x v="0"/>
    <x v="19"/>
    <x v="1"/>
    <x v="2"/>
    <n v="372"/>
    <n v="4746"/>
    <n v="5819.17"/>
    <n v="670"/>
    <n v="117"/>
    <n v="1"/>
    <s v="Yes"/>
    <n v="6362"/>
    <x v="1"/>
    <n v="2164731.2400000002"/>
    <n v="399219.24"/>
    <d v="2025-06-13T00:00:00"/>
    <x v="7"/>
  </r>
  <r>
    <s v="ORD00481"/>
    <d v="2025-01-10T00:00:00"/>
    <x v="2"/>
    <x v="3"/>
    <x v="1"/>
    <x v="7"/>
    <x v="3"/>
    <x v="2"/>
    <n v="352"/>
    <n v="2896"/>
    <n v="3355.86"/>
    <n v="1683"/>
    <n v="284"/>
    <n v="3"/>
    <s v="Yes"/>
    <n v="3131"/>
    <x v="1"/>
    <n v="1181262.72"/>
    <n v="161870.72"/>
    <d v="2025-01-10T00:00:00"/>
    <x v="6"/>
  </r>
  <r>
    <s v="ORD00482"/>
    <d v="2025-02-12T00:00:00"/>
    <x v="1"/>
    <x v="4"/>
    <x v="1"/>
    <x v="3"/>
    <x v="3"/>
    <x v="0"/>
    <n v="195"/>
    <n v="3690"/>
    <n v="5167.3999999999996"/>
    <n v="1022"/>
    <n v="159"/>
    <n v="6"/>
    <s v="No"/>
    <n v="2167"/>
    <x v="3"/>
    <n v="1007643"/>
    <n v="288093"/>
    <d v="2025-02-12T00:00:00"/>
    <x v="5"/>
  </r>
  <r>
    <s v="ORD00483"/>
    <d v="2025-06-19T00:00:00"/>
    <x v="2"/>
    <x v="2"/>
    <x v="1"/>
    <x v="11"/>
    <x v="2"/>
    <x v="1"/>
    <n v="273"/>
    <n v="4529"/>
    <n v="5880.21"/>
    <n v="1527"/>
    <n v="216"/>
    <n v="6"/>
    <s v="No"/>
    <n v="847"/>
    <x v="1"/>
    <n v="1605297.33"/>
    <n v="368880.33"/>
    <d v="2025-06-19T00:00:00"/>
    <x v="7"/>
  </r>
  <r>
    <s v="ORD00484"/>
    <d v="2025-04-08T00:00:00"/>
    <x v="3"/>
    <x v="2"/>
    <x v="3"/>
    <x v="6"/>
    <x v="1"/>
    <x v="2"/>
    <n v="310"/>
    <n v="1404"/>
    <n v="1779.26"/>
    <n v="1179"/>
    <n v="157"/>
    <n v="1"/>
    <s v="Yes"/>
    <n v="7279"/>
    <x v="1"/>
    <n v="551570.6"/>
    <n v="116330.6"/>
    <d v="2025-04-08T00:00:00"/>
    <x v="8"/>
  </r>
  <r>
    <s v="ORD00485"/>
    <d v="2025-09-21T00:00:00"/>
    <x v="0"/>
    <x v="2"/>
    <x v="3"/>
    <x v="9"/>
    <x v="1"/>
    <x v="2"/>
    <n v="427"/>
    <n v="265"/>
    <n v="367.61"/>
    <n v="1027"/>
    <n v="145"/>
    <n v="6"/>
    <s v="No"/>
    <n v="4203"/>
    <x v="0"/>
    <n v="156969.47"/>
    <n v="43814.47"/>
    <d v="2025-09-21T00:00:00"/>
    <x v="4"/>
  </r>
  <r>
    <s v="ORD00486"/>
    <d v="2025-06-02T00:00:00"/>
    <x v="2"/>
    <x v="0"/>
    <x v="2"/>
    <x v="13"/>
    <x v="0"/>
    <x v="2"/>
    <n v="347"/>
    <n v="1838"/>
    <n v="2344.8200000000002"/>
    <n v="1470"/>
    <n v="243"/>
    <n v="9"/>
    <s v="No"/>
    <n v="7614"/>
    <x v="2"/>
    <n v="813652.54"/>
    <n v="175866.54"/>
    <d v="2025-06-02T00:00:00"/>
    <x v="7"/>
  </r>
  <r>
    <s v="ORD00487"/>
    <d v="2025-10-11T00:00:00"/>
    <x v="0"/>
    <x v="0"/>
    <x v="1"/>
    <x v="7"/>
    <x v="1"/>
    <x v="2"/>
    <n v="236"/>
    <n v="2782"/>
    <n v="3555.62"/>
    <n v="1835"/>
    <n v="194"/>
    <n v="8"/>
    <s v="No"/>
    <n v="5400"/>
    <x v="2"/>
    <n v="839126.32"/>
    <n v="182574.32"/>
    <d v="2025-10-11T00:00:00"/>
    <x v="11"/>
  </r>
  <r>
    <s v="ORD00488"/>
    <d v="2025-07-11T00:00:00"/>
    <x v="1"/>
    <x v="1"/>
    <x v="0"/>
    <x v="4"/>
    <x v="3"/>
    <x v="1"/>
    <n v="60"/>
    <n v="440"/>
    <n v="624.14"/>
    <n v="1032"/>
    <n v="277"/>
    <n v="6"/>
    <s v="No"/>
    <n v="4794"/>
    <x v="2"/>
    <n v="37448.400000000001"/>
    <n v="11048.4"/>
    <d v="2025-07-11T00:00:00"/>
    <x v="9"/>
  </r>
  <r>
    <s v="ORD00489"/>
    <d v="2025-07-06T00:00:00"/>
    <x v="2"/>
    <x v="1"/>
    <x v="0"/>
    <x v="0"/>
    <x v="2"/>
    <x v="0"/>
    <n v="437"/>
    <n v="4820"/>
    <n v="5996.71"/>
    <n v="322"/>
    <n v="296"/>
    <n v="5"/>
    <s v="Yes"/>
    <n v="5790"/>
    <x v="0"/>
    <n v="2620562.27"/>
    <n v="514222.27"/>
    <d v="2025-07-06T00:00:00"/>
    <x v="9"/>
  </r>
  <r>
    <s v="ORD00490"/>
    <d v="2025-03-14T00:00:00"/>
    <x v="1"/>
    <x v="4"/>
    <x v="3"/>
    <x v="6"/>
    <x v="3"/>
    <x v="2"/>
    <n v="441"/>
    <n v="2413"/>
    <n v="3185.98"/>
    <n v="862"/>
    <n v="183"/>
    <n v="7"/>
    <s v="No"/>
    <n v="522"/>
    <x v="0"/>
    <n v="1405017.18"/>
    <n v="340884.18"/>
    <d v="2025-03-14T00:00:00"/>
    <x v="3"/>
  </r>
  <r>
    <s v="ORD00491"/>
    <d v="2025-06-27T00:00:00"/>
    <x v="1"/>
    <x v="3"/>
    <x v="1"/>
    <x v="12"/>
    <x v="1"/>
    <x v="0"/>
    <n v="211"/>
    <n v="2480"/>
    <n v="3598.38"/>
    <n v="158"/>
    <n v="183"/>
    <n v="8"/>
    <s v="No"/>
    <n v="5959"/>
    <x v="0"/>
    <n v="759258.18"/>
    <n v="235978.18"/>
    <d v="2025-06-27T00:00:00"/>
    <x v="7"/>
  </r>
  <r>
    <s v="ORD00492"/>
    <d v="2025-07-18T00:00:00"/>
    <x v="2"/>
    <x v="1"/>
    <x v="0"/>
    <x v="8"/>
    <x v="2"/>
    <x v="2"/>
    <n v="394"/>
    <n v="2925"/>
    <n v="3370.82"/>
    <n v="1511"/>
    <n v="214"/>
    <n v="6"/>
    <s v="No"/>
    <n v="658"/>
    <x v="0"/>
    <n v="1328103.08"/>
    <n v="175653.08"/>
    <d v="2025-07-18T00:00:00"/>
    <x v="9"/>
  </r>
  <r>
    <s v="ORD00493"/>
    <d v="2025-05-27T00:00:00"/>
    <x v="0"/>
    <x v="3"/>
    <x v="3"/>
    <x v="14"/>
    <x v="0"/>
    <x v="2"/>
    <n v="111"/>
    <n v="3574"/>
    <n v="4378.34"/>
    <n v="340"/>
    <n v="215"/>
    <n v="4"/>
    <s v="Yes"/>
    <n v="5922"/>
    <x v="1"/>
    <n v="485995.74"/>
    <n v="89281.74"/>
    <d v="2025-05-27T00:00:00"/>
    <x v="2"/>
  </r>
  <r>
    <s v="ORD00494"/>
    <d v="2025-02-06T00:00:00"/>
    <x v="3"/>
    <x v="0"/>
    <x v="0"/>
    <x v="19"/>
    <x v="2"/>
    <x v="0"/>
    <n v="326"/>
    <n v="4749"/>
    <n v="6817.98"/>
    <n v="887"/>
    <n v="109"/>
    <n v="8"/>
    <s v="No"/>
    <n v="7295"/>
    <x v="1"/>
    <n v="2222661.48"/>
    <n v="674487.48"/>
    <d v="2025-02-06T00:00:00"/>
    <x v="5"/>
  </r>
  <r>
    <s v="ORD00495"/>
    <d v="2025-09-12T00:00:00"/>
    <x v="1"/>
    <x v="3"/>
    <x v="1"/>
    <x v="11"/>
    <x v="3"/>
    <x v="2"/>
    <n v="449"/>
    <n v="3696"/>
    <n v="4336.79"/>
    <n v="1554"/>
    <n v="175"/>
    <n v="5"/>
    <s v="Yes"/>
    <n v="3766"/>
    <x v="1"/>
    <n v="1947218.71"/>
    <n v="287714.71000000002"/>
    <d v="2025-09-12T00:00:00"/>
    <x v="4"/>
  </r>
  <r>
    <s v="ORD00496"/>
    <d v="2025-10-26T00:00:00"/>
    <x v="3"/>
    <x v="3"/>
    <x v="3"/>
    <x v="9"/>
    <x v="2"/>
    <x v="0"/>
    <n v="223"/>
    <n v="3459"/>
    <n v="4584.3999999999996"/>
    <n v="1123"/>
    <n v="188"/>
    <n v="10"/>
    <s v="No"/>
    <n v="6137"/>
    <x v="2"/>
    <n v="1022321.2"/>
    <n v="250964.2"/>
    <d v="2025-10-26T00:00:00"/>
    <x v="11"/>
  </r>
  <r>
    <s v="ORD00497"/>
    <d v="2025-06-24T00:00:00"/>
    <x v="1"/>
    <x v="1"/>
    <x v="1"/>
    <x v="7"/>
    <x v="0"/>
    <x v="2"/>
    <n v="389"/>
    <n v="2894"/>
    <n v="3434.6"/>
    <n v="1357"/>
    <n v="181"/>
    <n v="3"/>
    <s v="Yes"/>
    <n v="4179"/>
    <x v="1"/>
    <n v="1336059.3999999999"/>
    <n v="210293.4"/>
    <d v="2025-06-24T00:00:00"/>
    <x v="7"/>
  </r>
  <r>
    <s v="ORD00498"/>
    <d v="2025-05-19T00:00:00"/>
    <x v="3"/>
    <x v="0"/>
    <x v="3"/>
    <x v="9"/>
    <x v="2"/>
    <x v="0"/>
    <n v="366"/>
    <n v="3267"/>
    <n v="4633.51"/>
    <n v="1094"/>
    <n v="194"/>
    <n v="5"/>
    <s v="Yes"/>
    <n v="2014"/>
    <x v="1"/>
    <n v="1695864.66"/>
    <n v="500142.66"/>
    <d v="2025-05-19T00:00:00"/>
    <x v="2"/>
  </r>
  <r>
    <s v="ORD00499"/>
    <d v="2025-06-08T00:00:00"/>
    <x v="1"/>
    <x v="4"/>
    <x v="0"/>
    <x v="19"/>
    <x v="3"/>
    <x v="0"/>
    <n v="212"/>
    <n v="1134"/>
    <n v="1619.43"/>
    <n v="1253"/>
    <n v="226"/>
    <n v="8"/>
    <s v="No"/>
    <n v="362"/>
    <x v="2"/>
    <n v="343319.16"/>
    <n v="102911.16"/>
    <d v="2025-06-08T00:00:00"/>
    <x v="7"/>
  </r>
  <r>
    <s v="ORD00500"/>
    <d v="2025-01-03T00:00:00"/>
    <x v="0"/>
    <x v="1"/>
    <x v="0"/>
    <x v="0"/>
    <x v="2"/>
    <x v="2"/>
    <n v="500"/>
    <n v="1105"/>
    <n v="1575.04"/>
    <n v="1278"/>
    <n v="193"/>
    <n v="3"/>
    <s v="Yes"/>
    <n v="2759"/>
    <x v="1"/>
    <n v="787520"/>
    <n v="235020"/>
    <d v="2025-01-03T00:00:00"/>
    <x v="6"/>
  </r>
  <r>
    <s v="ORD00501"/>
    <d v="2025-11-17T00:00:00"/>
    <x v="2"/>
    <x v="1"/>
    <x v="3"/>
    <x v="9"/>
    <x v="1"/>
    <x v="0"/>
    <n v="307"/>
    <n v="292"/>
    <n v="374.34"/>
    <n v="1849"/>
    <n v="104"/>
    <n v="8"/>
    <s v="No"/>
    <n v="6009"/>
    <x v="2"/>
    <n v="114922.38"/>
    <n v="25278.38"/>
    <d v="2025-11-17T00:00:00"/>
    <x v="0"/>
  </r>
  <r>
    <s v="ORD00502"/>
    <d v="2025-01-05T00:00:00"/>
    <x v="2"/>
    <x v="2"/>
    <x v="3"/>
    <x v="14"/>
    <x v="2"/>
    <x v="1"/>
    <n v="97"/>
    <n v="2355"/>
    <n v="2709.08"/>
    <n v="949"/>
    <n v="260"/>
    <n v="2"/>
    <s v="Yes"/>
    <n v="4050"/>
    <x v="1"/>
    <n v="262780.76"/>
    <n v="34345.760000000002"/>
    <d v="2025-01-05T00:00:00"/>
    <x v="6"/>
  </r>
  <r>
    <s v="ORD00503"/>
    <d v="2025-04-29T00:00:00"/>
    <x v="3"/>
    <x v="4"/>
    <x v="2"/>
    <x v="13"/>
    <x v="1"/>
    <x v="1"/>
    <n v="10"/>
    <n v="4391"/>
    <n v="5160.25"/>
    <n v="1888"/>
    <n v="187"/>
    <n v="10"/>
    <s v="No"/>
    <n v="5457"/>
    <x v="1"/>
    <n v="51602.5"/>
    <n v="7692.5"/>
    <d v="2025-04-29T00:00:00"/>
    <x v="8"/>
  </r>
  <r>
    <s v="ORD00504"/>
    <d v="2025-02-19T00:00:00"/>
    <x v="0"/>
    <x v="3"/>
    <x v="1"/>
    <x v="7"/>
    <x v="0"/>
    <x v="2"/>
    <n v="80"/>
    <n v="4355"/>
    <n v="6431.87"/>
    <n v="1538"/>
    <n v="150"/>
    <n v="10"/>
    <s v="No"/>
    <n v="6017"/>
    <x v="0"/>
    <n v="514549.6"/>
    <n v="166149.6"/>
    <d v="2025-02-19T00:00:00"/>
    <x v="5"/>
  </r>
  <r>
    <s v="ORD00505"/>
    <d v="2025-06-20T00:00:00"/>
    <x v="2"/>
    <x v="3"/>
    <x v="3"/>
    <x v="15"/>
    <x v="1"/>
    <x v="1"/>
    <n v="300"/>
    <n v="935"/>
    <n v="1121.93"/>
    <n v="1699"/>
    <n v="162"/>
    <n v="6"/>
    <s v="No"/>
    <n v="3331"/>
    <x v="2"/>
    <n v="336579"/>
    <n v="56079"/>
    <d v="2025-06-20T00:00:00"/>
    <x v="7"/>
  </r>
  <r>
    <s v="ORD00506"/>
    <d v="2025-02-23T00:00:00"/>
    <x v="1"/>
    <x v="4"/>
    <x v="3"/>
    <x v="6"/>
    <x v="3"/>
    <x v="1"/>
    <n v="462"/>
    <n v="759"/>
    <n v="891.32"/>
    <n v="1950"/>
    <n v="115"/>
    <n v="10"/>
    <s v="No"/>
    <n v="582"/>
    <x v="3"/>
    <n v="411789.84"/>
    <n v="61131.839999999997"/>
    <d v="2025-02-23T00:00:00"/>
    <x v="5"/>
  </r>
  <r>
    <s v="ORD00507"/>
    <d v="2025-03-02T00:00:00"/>
    <x v="0"/>
    <x v="0"/>
    <x v="3"/>
    <x v="9"/>
    <x v="3"/>
    <x v="2"/>
    <n v="65"/>
    <n v="2938"/>
    <n v="3672.72"/>
    <n v="1729"/>
    <n v="239"/>
    <n v="8"/>
    <s v="No"/>
    <n v="584"/>
    <x v="2"/>
    <n v="238726.8"/>
    <n v="47756.800000000003"/>
    <d v="2025-03-02T00:00:00"/>
    <x v="3"/>
  </r>
  <r>
    <s v="ORD00508"/>
    <d v="2025-08-29T00:00:00"/>
    <x v="2"/>
    <x v="4"/>
    <x v="0"/>
    <x v="2"/>
    <x v="0"/>
    <x v="1"/>
    <n v="468"/>
    <n v="1872"/>
    <n v="2155.15"/>
    <n v="1426"/>
    <n v="95"/>
    <n v="5"/>
    <s v="Yes"/>
    <n v="6136"/>
    <x v="1"/>
    <n v="1008610.2"/>
    <n v="132514.20000000001"/>
    <d v="2025-08-29T00:00:00"/>
    <x v="1"/>
  </r>
  <r>
    <s v="ORD00509"/>
    <d v="2025-09-27T00:00:00"/>
    <x v="0"/>
    <x v="4"/>
    <x v="2"/>
    <x v="13"/>
    <x v="3"/>
    <x v="0"/>
    <n v="201"/>
    <n v="1490"/>
    <n v="1962.41"/>
    <n v="378"/>
    <n v="272"/>
    <n v="5"/>
    <s v="Yes"/>
    <n v="3831"/>
    <x v="1"/>
    <n v="394444.41"/>
    <n v="94954.41"/>
    <d v="2025-09-27T00:00:00"/>
    <x v="4"/>
  </r>
  <r>
    <s v="ORD00510"/>
    <d v="2025-07-14T00:00:00"/>
    <x v="0"/>
    <x v="0"/>
    <x v="0"/>
    <x v="2"/>
    <x v="2"/>
    <x v="2"/>
    <n v="172"/>
    <n v="221"/>
    <n v="278.44"/>
    <n v="1561"/>
    <n v="203"/>
    <n v="2"/>
    <s v="Yes"/>
    <n v="7714"/>
    <x v="0"/>
    <n v="47891.68"/>
    <n v="9879.68"/>
    <d v="2025-07-14T00:00:00"/>
    <x v="9"/>
  </r>
  <r>
    <s v="ORD00511"/>
    <d v="2025-06-30T00:00:00"/>
    <x v="0"/>
    <x v="2"/>
    <x v="2"/>
    <x v="10"/>
    <x v="1"/>
    <x v="1"/>
    <n v="433"/>
    <n v="3796"/>
    <n v="5312.83"/>
    <n v="1150"/>
    <n v="108"/>
    <n v="1"/>
    <s v="Yes"/>
    <n v="919"/>
    <x v="1"/>
    <n v="2300455.39"/>
    <n v="656787.39"/>
    <d v="2025-06-30T00:00:00"/>
    <x v="7"/>
  </r>
  <r>
    <s v="ORD00512"/>
    <d v="2025-10-02T00:00:00"/>
    <x v="3"/>
    <x v="4"/>
    <x v="0"/>
    <x v="2"/>
    <x v="0"/>
    <x v="2"/>
    <n v="443"/>
    <n v="2065"/>
    <n v="3083.31"/>
    <n v="825"/>
    <n v="191"/>
    <n v="6"/>
    <s v="No"/>
    <n v="5836"/>
    <x v="1"/>
    <n v="1365906.33"/>
    <n v="451111.33"/>
    <d v="2025-10-02T00:00:00"/>
    <x v="11"/>
  </r>
  <r>
    <s v="ORD00513"/>
    <d v="2025-11-09T00:00:00"/>
    <x v="1"/>
    <x v="3"/>
    <x v="3"/>
    <x v="15"/>
    <x v="0"/>
    <x v="1"/>
    <n v="110"/>
    <n v="2163"/>
    <n v="3159.84"/>
    <n v="1437"/>
    <n v="154"/>
    <n v="9"/>
    <s v="No"/>
    <n v="4106"/>
    <x v="1"/>
    <n v="347582.4"/>
    <n v="109652.4"/>
    <d v="2025-11-09T00:00:00"/>
    <x v="0"/>
  </r>
  <r>
    <s v="ORD00514"/>
    <d v="2025-09-23T00:00:00"/>
    <x v="0"/>
    <x v="4"/>
    <x v="1"/>
    <x v="12"/>
    <x v="0"/>
    <x v="0"/>
    <n v="223"/>
    <n v="2376"/>
    <n v="2821.87"/>
    <n v="1916"/>
    <n v="230"/>
    <n v="8"/>
    <s v="No"/>
    <n v="7272"/>
    <x v="1"/>
    <n v="629277.01"/>
    <n v="99429.01"/>
    <d v="2025-09-23T00:00:00"/>
    <x v="4"/>
  </r>
  <r>
    <s v="ORD00515"/>
    <d v="2025-11-14T00:00:00"/>
    <x v="1"/>
    <x v="3"/>
    <x v="2"/>
    <x v="10"/>
    <x v="2"/>
    <x v="2"/>
    <n v="390"/>
    <n v="4411"/>
    <n v="5837.19"/>
    <n v="474"/>
    <n v="115"/>
    <n v="3"/>
    <s v="Yes"/>
    <n v="964"/>
    <x v="1"/>
    <n v="2276504.1"/>
    <n v="556214.1"/>
    <d v="2025-11-14T00:00:00"/>
    <x v="0"/>
  </r>
  <r>
    <s v="ORD00516"/>
    <d v="2025-10-04T00:00:00"/>
    <x v="1"/>
    <x v="3"/>
    <x v="3"/>
    <x v="15"/>
    <x v="0"/>
    <x v="0"/>
    <n v="429"/>
    <n v="2591"/>
    <n v="3618.48"/>
    <n v="877"/>
    <n v="101"/>
    <n v="7"/>
    <s v="No"/>
    <n v="562"/>
    <x v="0"/>
    <n v="1552327.92"/>
    <n v="440788.92"/>
    <d v="2025-10-04T00:00:00"/>
    <x v="11"/>
  </r>
  <r>
    <s v="ORD00517"/>
    <d v="2025-07-08T00:00:00"/>
    <x v="1"/>
    <x v="2"/>
    <x v="3"/>
    <x v="15"/>
    <x v="2"/>
    <x v="2"/>
    <n v="165"/>
    <n v="2717"/>
    <n v="3634.19"/>
    <n v="1085"/>
    <n v="220"/>
    <n v="9"/>
    <s v="No"/>
    <n v="3803"/>
    <x v="1"/>
    <n v="599641.35"/>
    <n v="151336.35"/>
    <d v="2025-07-08T00:00:00"/>
    <x v="9"/>
  </r>
  <r>
    <s v="ORD00518"/>
    <d v="2025-04-13T00:00:00"/>
    <x v="0"/>
    <x v="2"/>
    <x v="3"/>
    <x v="14"/>
    <x v="1"/>
    <x v="0"/>
    <n v="361"/>
    <n v="3708"/>
    <n v="5196.58"/>
    <n v="1331"/>
    <n v="122"/>
    <n v="7"/>
    <s v="No"/>
    <n v="3574"/>
    <x v="1"/>
    <n v="1875965.38"/>
    <n v="537377.38"/>
    <d v="2025-04-13T00:00:00"/>
    <x v="8"/>
  </r>
  <r>
    <s v="ORD00519"/>
    <d v="2025-08-31T00:00:00"/>
    <x v="3"/>
    <x v="2"/>
    <x v="1"/>
    <x v="12"/>
    <x v="2"/>
    <x v="1"/>
    <n v="86"/>
    <n v="187"/>
    <n v="264.23"/>
    <n v="1734"/>
    <n v="172"/>
    <n v="4"/>
    <s v="Yes"/>
    <n v="6683"/>
    <x v="1"/>
    <n v="22723.78"/>
    <n v="6641.78"/>
    <d v="2025-08-31T00:00:00"/>
    <x v="1"/>
  </r>
  <r>
    <s v="ORD00520"/>
    <d v="2025-04-27T00:00:00"/>
    <x v="3"/>
    <x v="1"/>
    <x v="2"/>
    <x v="18"/>
    <x v="0"/>
    <x v="2"/>
    <n v="30"/>
    <n v="3766"/>
    <n v="4745.54"/>
    <n v="241"/>
    <n v="194"/>
    <n v="7"/>
    <s v="No"/>
    <n v="1930"/>
    <x v="0"/>
    <n v="142366.20000000001"/>
    <n v="29386.2"/>
    <d v="2025-04-27T00:00:00"/>
    <x v="8"/>
  </r>
  <r>
    <s v="ORD00521"/>
    <d v="2025-10-24T00:00:00"/>
    <x v="3"/>
    <x v="1"/>
    <x v="3"/>
    <x v="14"/>
    <x v="2"/>
    <x v="2"/>
    <n v="193"/>
    <n v="1891"/>
    <n v="2229.9299999999998"/>
    <n v="1494"/>
    <n v="134"/>
    <n v="1"/>
    <s v="Yes"/>
    <n v="7019"/>
    <x v="0"/>
    <n v="430376.49"/>
    <n v="65413.49"/>
    <d v="2025-10-24T00:00:00"/>
    <x v="11"/>
  </r>
  <r>
    <s v="ORD00522"/>
    <d v="2025-07-08T00:00:00"/>
    <x v="3"/>
    <x v="4"/>
    <x v="1"/>
    <x v="12"/>
    <x v="0"/>
    <x v="1"/>
    <n v="478"/>
    <n v="4351"/>
    <n v="5116.55"/>
    <n v="739"/>
    <n v="245"/>
    <n v="3"/>
    <s v="Yes"/>
    <n v="3151"/>
    <x v="1"/>
    <n v="2445710.9"/>
    <n v="365932.9"/>
    <d v="2025-07-08T00:00:00"/>
    <x v="9"/>
  </r>
  <r>
    <s v="ORD00523"/>
    <d v="2025-03-26T00:00:00"/>
    <x v="2"/>
    <x v="3"/>
    <x v="0"/>
    <x v="0"/>
    <x v="2"/>
    <x v="0"/>
    <n v="49"/>
    <n v="3784"/>
    <n v="4743.03"/>
    <n v="1693"/>
    <n v="283"/>
    <n v="9"/>
    <s v="No"/>
    <n v="5806"/>
    <x v="3"/>
    <n v="232408.47"/>
    <n v="46992.47"/>
    <d v="2025-03-26T00:00:00"/>
    <x v="3"/>
  </r>
  <r>
    <s v="ORD00524"/>
    <d v="2025-02-18T00:00:00"/>
    <x v="0"/>
    <x v="0"/>
    <x v="1"/>
    <x v="1"/>
    <x v="3"/>
    <x v="1"/>
    <n v="177"/>
    <n v="3371"/>
    <n v="4662.78"/>
    <n v="217"/>
    <n v="300"/>
    <n v="1"/>
    <s v="Yes"/>
    <n v="1687"/>
    <x v="1"/>
    <n v="825312.06"/>
    <n v="228645.06"/>
    <d v="2025-02-18T00:00:00"/>
    <x v="5"/>
  </r>
  <r>
    <s v="ORD00525"/>
    <d v="2025-08-28T00:00:00"/>
    <x v="2"/>
    <x v="2"/>
    <x v="0"/>
    <x v="8"/>
    <x v="3"/>
    <x v="0"/>
    <n v="323"/>
    <n v="1871"/>
    <n v="2588.71"/>
    <n v="1261"/>
    <n v="134"/>
    <n v="9"/>
    <s v="No"/>
    <n v="3300"/>
    <x v="1"/>
    <n v="836153.33"/>
    <n v="231820.33"/>
    <d v="2025-08-28T00:00:00"/>
    <x v="1"/>
  </r>
  <r>
    <s v="ORD00526"/>
    <d v="2025-09-04T00:00:00"/>
    <x v="3"/>
    <x v="2"/>
    <x v="1"/>
    <x v="3"/>
    <x v="2"/>
    <x v="0"/>
    <n v="154"/>
    <n v="274"/>
    <n v="384.64"/>
    <n v="96"/>
    <n v="126"/>
    <n v="10"/>
    <s v="No"/>
    <n v="4946"/>
    <x v="3"/>
    <n v="59234.559999999998"/>
    <n v="17038.560000000001"/>
    <d v="2025-09-04T00:00:00"/>
    <x v="4"/>
  </r>
  <r>
    <s v="ORD00527"/>
    <d v="2025-12-22T00:00:00"/>
    <x v="2"/>
    <x v="4"/>
    <x v="3"/>
    <x v="15"/>
    <x v="2"/>
    <x v="2"/>
    <n v="191"/>
    <n v="349"/>
    <n v="452.31"/>
    <n v="911"/>
    <n v="89"/>
    <n v="8"/>
    <s v="No"/>
    <n v="5492"/>
    <x v="1"/>
    <n v="86391.21"/>
    <n v="19732.21"/>
    <d v="2025-12-22T00:00:00"/>
    <x v="10"/>
  </r>
  <r>
    <s v="ORD00528"/>
    <d v="2025-12-15T00:00:00"/>
    <x v="0"/>
    <x v="0"/>
    <x v="0"/>
    <x v="19"/>
    <x v="1"/>
    <x v="2"/>
    <n v="81"/>
    <n v="1284"/>
    <n v="1477.19"/>
    <n v="388"/>
    <n v="243"/>
    <n v="10"/>
    <s v="No"/>
    <n v="7804"/>
    <x v="1"/>
    <n v="119652.39"/>
    <n v="15648.39"/>
    <d v="2025-12-15T00:00:00"/>
    <x v="10"/>
  </r>
  <r>
    <s v="ORD00529"/>
    <d v="2025-02-25T00:00:00"/>
    <x v="0"/>
    <x v="1"/>
    <x v="0"/>
    <x v="2"/>
    <x v="3"/>
    <x v="2"/>
    <n v="304"/>
    <n v="4019"/>
    <n v="5553.74"/>
    <n v="1656"/>
    <n v="127"/>
    <n v="5"/>
    <s v="Yes"/>
    <n v="5314"/>
    <x v="1"/>
    <n v="1688336.96"/>
    <n v="466560.96"/>
    <d v="2025-02-25T00:00:00"/>
    <x v="5"/>
  </r>
  <r>
    <s v="ORD00530"/>
    <d v="2025-03-30T00:00:00"/>
    <x v="2"/>
    <x v="4"/>
    <x v="1"/>
    <x v="11"/>
    <x v="1"/>
    <x v="0"/>
    <n v="433"/>
    <n v="1461"/>
    <n v="2030.51"/>
    <n v="1734"/>
    <n v="158"/>
    <n v="3"/>
    <s v="Yes"/>
    <n v="314"/>
    <x v="1"/>
    <n v="879210.83"/>
    <n v="246597.83"/>
    <d v="2025-03-30T00:00:00"/>
    <x v="3"/>
  </r>
  <r>
    <s v="ORD00531"/>
    <d v="2025-09-07T00:00:00"/>
    <x v="1"/>
    <x v="0"/>
    <x v="2"/>
    <x v="18"/>
    <x v="3"/>
    <x v="1"/>
    <n v="181"/>
    <n v="727"/>
    <n v="1072.75"/>
    <n v="1241"/>
    <n v="112"/>
    <n v="9"/>
    <s v="No"/>
    <n v="1173"/>
    <x v="2"/>
    <n v="194167.75"/>
    <n v="62580.75"/>
    <d v="2025-09-07T00:00:00"/>
    <x v="4"/>
  </r>
  <r>
    <s v="ORD00532"/>
    <d v="2025-07-06T00:00:00"/>
    <x v="3"/>
    <x v="1"/>
    <x v="2"/>
    <x v="18"/>
    <x v="1"/>
    <x v="2"/>
    <n v="299"/>
    <n v="1623"/>
    <n v="2319.1799999999998"/>
    <n v="482"/>
    <n v="258"/>
    <n v="7"/>
    <s v="No"/>
    <n v="1961"/>
    <x v="1"/>
    <n v="693434.82"/>
    <n v="208157.82"/>
    <d v="2025-07-06T00:00:00"/>
    <x v="9"/>
  </r>
  <r>
    <s v="ORD00533"/>
    <d v="2025-02-16T00:00:00"/>
    <x v="2"/>
    <x v="1"/>
    <x v="2"/>
    <x v="13"/>
    <x v="1"/>
    <x v="1"/>
    <n v="452"/>
    <n v="3148"/>
    <n v="3811.17"/>
    <n v="1101"/>
    <n v="228"/>
    <n v="10"/>
    <s v="No"/>
    <n v="988"/>
    <x v="3"/>
    <n v="1722648.84"/>
    <n v="299752.84000000003"/>
    <d v="2025-02-16T00:00:00"/>
    <x v="5"/>
  </r>
  <r>
    <s v="ORD00534"/>
    <d v="2025-02-20T00:00:00"/>
    <x v="2"/>
    <x v="1"/>
    <x v="0"/>
    <x v="0"/>
    <x v="1"/>
    <x v="2"/>
    <n v="69"/>
    <n v="222"/>
    <n v="302.83999999999997"/>
    <n v="1819"/>
    <n v="97"/>
    <n v="9"/>
    <s v="No"/>
    <n v="7170"/>
    <x v="0"/>
    <n v="20895.96"/>
    <n v="5577.96"/>
    <d v="2025-02-20T00:00:00"/>
    <x v="5"/>
  </r>
  <r>
    <s v="ORD00535"/>
    <d v="2025-12-12T00:00:00"/>
    <x v="2"/>
    <x v="1"/>
    <x v="3"/>
    <x v="14"/>
    <x v="1"/>
    <x v="2"/>
    <n v="45"/>
    <n v="1563"/>
    <n v="2295.94"/>
    <n v="73"/>
    <n v="129"/>
    <n v="2"/>
    <s v="Yes"/>
    <n v="5027"/>
    <x v="1"/>
    <n v="103317.3"/>
    <n v="32982.300000000003"/>
    <d v="2025-12-12T00:00:00"/>
    <x v="10"/>
  </r>
  <r>
    <s v="ORD00536"/>
    <d v="2025-02-12T00:00:00"/>
    <x v="3"/>
    <x v="2"/>
    <x v="2"/>
    <x v="18"/>
    <x v="1"/>
    <x v="1"/>
    <n v="414"/>
    <n v="3692"/>
    <n v="5013.8900000000003"/>
    <n v="1747"/>
    <n v="271"/>
    <n v="1"/>
    <s v="Yes"/>
    <n v="3696"/>
    <x v="1"/>
    <n v="2075750.46"/>
    <n v="547262.46"/>
    <d v="2025-02-12T00:00:00"/>
    <x v="5"/>
  </r>
  <r>
    <s v="ORD00537"/>
    <d v="2025-10-20T00:00:00"/>
    <x v="0"/>
    <x v="3"/>
    <x v="2"/>
    <x v="17"/>
    <x v="1"/>
    <x v="1"/>
    <n v="211"/>
    <n v="1659"/>
    <n v="2239.9699999999998"/>
    <n v="2000"/>
    <n v="274"/>
    <n v="8"/>
    <s v="No"/>
    <n v="2561"/>
    <x v="3"/>
    <n v="472633.67"/>
    <n v="122584.67"/>
    <d v="2025-10-20T00:00:00"/>
    <x v="11"/>
  </r>
  <r>
    <s v="ORD00538"/>
    <d v="2025-05-01T00:00:00"/>
    <x v="0"/>
    <x v="1"/>
    <x v="1"/>
    <x v="12"/>
    <x v="0"/>
    <x v="1"/>
    <n v="296"/>
    <n v="2995"/>
    <n v="4185.8599999999997"/>
    <n v="305"/>
    <n v="133"/>
    <n v="3"/>
    <s v="Yes"/>
    <n v="7212"/>
    <x v="1"/>
    <n v="1239014.56"/>
    <n v="352494.56"/>
    <d v="2025-05-01T00:00:00"/>
    <x v="2"/>
  </r>
  <r>
    <s v="ORD00539"/>
    <d v="2025-01-23T00:00:00"/>
    <x v="1"/>
    <x v="1"/>
    <x v="3"/>
    <x v="9"/>
    <x v="3"/>
    <x v="2"/>
    <n v="164"/>
    <n v="2905"/>
    <n v="3462.51"/>
    <n v="307"/>
    <n v="104"/>
    <n v="6"/>
    <s v="No"/>
    <n v="1653"/>
    <x v="0"/>
    <n v="567851.64"/>
    <n v="91431.64"/>
    <d v="2025-01-23T00:00:00"/>
    <x v="6"/>
  </r>
  <r>
    <s v="ORD00540"/>
    <d v="2025-10-02T00:00:00"/>
    <x v="0"/>
    <x v="4"/>
    <x v="2"/>
    <x v="18"/>
    <x v="1"/>
    <x v="2"/>
    <n v="265"/>
    <n v="649"/>
    <n v="828.15"/>
    <n v="894"/>
    <n v="228"/>
    <n v="5"/>
    <s v="Yes"/>
    <n v="7955"/>
    <x v="1"/>
    <n v="219459.75"/>
    <n v="47474.75"/>
    <d v="2025-10-02T00:00:00"/>
    <x v="11"/>
  </r>
  <r>
    <s v="ORD00541"/>
    <d v="2025-08-04T00:00:00"/>
    <x v="0"/>
    <x v="3"/>
    <x v="3"/>
    <x v="6"/>
    <x v="0"/>
    <x v="0"/>
    <n v="253"/>
    <n v="2939"/>
    <n v="3935.05"/>
    <n v="1383"/>
    <n v="202"/>
    <n v="8"/>
    <s v="No"/>
    <n v="4690"/>
    <x v="2"/>
    <n v="995567.65"/>
    <n v="252000.65"/>
    <d v="2025-08-04T00:00:00"/>
    <x v="1"/>
  </r>
  <r>
    <s v="ORD00542"/>
    <d v="2025-06-16T00:00:00"/>
    <x v="0"/>
    <x v="4"/>
    <x v="0"/>
    <x v="4"/>
    <x v="2"/>
    <x v="1"/>
    <n v="195"/>
    <n v="1116"/>
    <n v="1360.2"/>
    <n v="1337"/>
    <n v="240"/>
    <n v="7"/>
    <s v="No"/>
    <n v="3552"/>
    <x v="0"/>
    <n v="265239"/>
    <n v="47619"/>
    <d v="2025-06-16T00:00:00"/>
    <x v="7"/>
  </r>
  <r>
    <s v="ORD00543"/>
    <d v="2025-09-12T00:00:00"/>
    <x v="0"/>
    <x v="4"/>
    <x v="0"/>
    <x v="2"/>
    <x v="3"/>
    <x v="1"/>
    <n v="333"/>
    <n v="3903"/>
    <n v="4811.58"/>
    <n v="1081"/>
    <n v="220"/>
    <n v="3"/>
    <s v="Yes"/>
    <n v="1226"/>
    <x v="1"/>
    <n v="1602256.14"/>
    <n v="302557.14"/>
    <d v="2025-09-12T00:00:00"/>
    <x v="4"/>
  </r>
  <r>
    <s v="ORD00544"/>
    <d v="2025-01-24T00:00:00"/>
    <x v="3"/>
    <x v="1"/>
    <x v="0"/>
    <x v="0"/>
    <x v="3"/>
    <x v="2"/>
    <n v="152"/>
    <n v="3797"/>
    <n v="4534.49"/>
    <n v="651"/>
    <n v="252"/>
    <n v="6"/>
    <s v="No"/>
    <n v="2575"/>
    <x v="0"/>
    <n v="689242.48"/>
    <n v="112098.48"/>
    <d v="2025-01-24T00:00:00"/>
    <x v="6"/>
  </r>
  <r>
    <s v="ORD00545"/>
    <d v="2025-03-18T00:00:00"/>
    <x v="0"/>
    <x v="2"/>
    <x v="2"/>
    <x v="5"/>
    <x v="2"/>
    <x v="1"/>
    <n v="164"/>
    <n v="836"/>
    <n v="1069.3499999999999"/>
    <n v="1344"/>
    <n v="186"/>
    <n v="6"/>
    <s v="No"/>
    <n v="1413"/>
    <x v="1"/>
    <n v="175373.4"/>
    <n v="38269.4"/>
    <d v="2025-03-18T00:00:00"/>
    <x v="3"/>
  </r>
  <r>
    <s v="ORD00546"/>
    <d v="2025-10-26T00:00:00"/>
    <x v="3"/>
    <x v="2"/>
    <x v="2"/>
    <x v="13"/>
    <x v="0"/>
    <x v="2"/>
    <n v="23"/>
    <n v="2466"/>
    <n v="3142.36"/>
    <n v="622"/>
    <n v="233"/>
    <n v="3"/>
    <s v="Yes"/>
    <n v="7342"/>
    <x v="1"/>
    <n v="72274.28"/>
    <n v="15556.28"/>
    <d v="2025-10-26T00:00:00"/>
    <x v="11"/>
  </r>
  <r>
    <s v="ORD00547"/>
    <d v="2025-07-29T00:00:00"/>
    <x v="0"/>
    <x v="2"/>
    <x v="3"/>
    <x v="9"/>
    <x v="0"/>
    <x v="1"/>
    <n v="428"/>
    <n v="2955"/>
    <n v="4267.63"/>
    <n v="198"/>
    <n v="202"/>
    <n v="1"/>
    <s v="Yes"/>
    <n v="4529"/>
    <x v="1"/>
    <n v="1826545.64"/>
    <n v="561805.64"/>
    <d v="2025-07-29T00:00:00"/>
    <x v="9"/>
  </r>
  <r>
    <s v="ORD00548"/>
    <d v="2025-11-19T00:00:00"/>
    <x v="3"/>
    <x v="0"/>
    <x v="1"/>
    <x v="7"/>
    <x v="0"/>
    <x v="0"/>
    <n v="476"/>
    <n v="242"/>
    <n v="319"/>
    <n v="108"/>
    <n v="113"/>
    <n v="2"/>
    <s v="Yes"/>
    <n v="2064"/>
    <x v="1"/>
    <n v="151844"/>
    <n v="36652"/>
    <d v="2025-11-19T00:00:00"/>
    <x v="0"/>
  </r>
  <r>
    <s v="ORD00549"/>
    <d v="2025-11-01T00:00:00"/>
    <x v="0"/>
    <x v="3"/>
    <x v="2"/>
    <x v="18"/>
    <x v="2"/>
    <x v="2"/>
    <n v="125"/>
    <n v="3740"/>
    <n v="5548.02"/>
    <n v="1460"/>
    <n v="112"/>
    <n v="2"/>
    <s v="Yes"/>
    <n v="5331"/>
    <x v="1"/>
    <n v="693502.5"/>
    <n v="226002.5"/>
    <d v="2025-11-01T00:00:00"/>
    <x v="0"/>
  </r>
  <r>
    <s v="ORD00550"/>
    <d v="2025-01-05T00:00:00"/>
    <x v="0"/>
    <x v="0"/>
    <x v="3"/>
    <x v="14"/>
    <x v="0"/>
    <x v="2"/>
    <n v="500"/>
    <n v="614"/>
    <n v="823"/>
    <n v="1305"/>
    <n v="286"/>
    <n v="4"/>
    <s v="Yes"/>
    <n v="4213"/>
    <x v="1"/>
    <n v="411500"/>
    <n v="104500"/>
    <d v="2025-01-05T00:00:00"/>
    <x v="6"/>
  </r>
  <r>
    <s v="ORD00551"/>
    <d v="2025-02-22T00:00:00"/>
    <x v="1"/>
    <x v="3"/>
    <x v="1"/>
    <x v="7"/>
    <x v="1"/>
    <x v="0"/>
    <n v="189"/>
    <n v="4913"/>
    <n v="6051.3"/>
    <n v="771"/>
    <n v="91"/>
    <n v="5"/>
    <s v="Yes"/>
    <n v="3879"/>
    <x v="0"/>
    <n v="1143695.7"/>
    <n v="215138.7"/>
    <d v="2025-02-22T00:00:00"/>
    <x v="5"/>
  </r>
  <r>
    <s v="ORD00552"/>
    <d v="2025-11-01T00:00:00"/>
    <x v="3"/>
    <x v="4"/>
    <x v="2"/>
    <x v="5"/>
    <x v="1"/>
    <x v="0"/>
    <n v="371"/>
    <n v="3815"/>
    <n v="4707.91"/>
    <n v="899"/>
    <n v="221"/>
    <n v="7"/>
    <s v="No"/>
    <n v="5823"/>
    <x v="0"/>
    <n v="1746634.61"/>
    <n v="331269.61"/>
    <d v="2025-11-01T00:00:00"/>
    <x v="0"/>
  </r>
  <r>
    <s v="ORD00553"/>
    <d v="2025-09-18T00:00:00"/>
    <x v="3"/>
    <x v="4"/>
    <x v="2"/>
    <x v="18"/>
    <x v="1"/>
    <x v="1"/>
    <n v="93"/>
    <n v="3797"/>
    <n v="4507.3"/>
    <n v="1711"/>
    <n v="279"/>
    <n v="8"/>
    <s v="No"/>
    <n v="6228"/>
    <x v="1"/>
    <n v="419178.9"/>
    <n v="66057.899999999994"/>
    <d v="2025-09-18T00:00:00"/>
    <x v="4"/>
  </r>
  <r>
    <s v="ORD00554"/>
    <d v="2025-12-29T00:00:00"/>
    <x v="1"/>
    <x v="4"/>
    <x v="0"/>
    <x v="19"/>
    <x v="2"/>
    <x v="2"/>
    <n v="301"/>
    <n v="3039"/>
    <n v="4151.96"/>
    <n v="740"/>
    <n v="243"/>
    <n v="8"/>
    <s v="No"/>
    <n v="2719"/>
    <x v="0"/>
    <n v="1249739.96"/>
    <n v="335000.96000000002"/>
    <d v="2025-12-29T00:00:00"/>
    <x v="10"/>
  </r>
  <r>
    <s v="ORD00555"/>
    <d v="2025-04-12T00:00:00"/>
    <x v="1"/>
    <x v="4"/>
    <x v="1"/>
    <x v="12"/>
    <x v="1"/>
    <x v="2"/>
    <n v="103"/>
    <n v="969"/>
    <n v="1159.4000000000001"/>
    <n v="1978"/>
    <n v="288"/>
    <n v="2"/>
    <s v="Yes"/>
    <n v="3415"/>
    <x v="1"/>
    <n v="119418.2"/>
    <n v="19611.2"/>
    <d v="2025-04-12T00:00:00"/>
    <x v="8"/>
  </r>
  <r>
    <s v="ORD00556"/>
    <d v="2025-05-12T00:00:00"/>
    <x v="0"/>
    <x v="2"/>
    <x v="2"/>
    <x v="17"/>
    <x v="3"/>
    <x v="0"/>
    <n v="101"/>
    <n v="2587"/>
    <n v="3216.02"/>
    <n v="1315"/>
    <n v="205"/>
    <n v="4"/>
    <s v="Yes"/>
    <n v="2447"/>
    <x v="1"/>
    <n v="324818.02"/>
    <n v="63531.02"/>
    <d v="2025-05-12T00:00:00"/>
    <x v="2"/>
  </r>
  <r>
    <s v="ORD00557"/>
    <d v="2025-08-07T00:00:00"/>
    <x v="2"/>
    <x v="0"/>
    <x v="2"/>
    <x v="18"/>
    <x v="3"/>
    <x v="0"/>
    <n v="411"/>
    <n v="2955"/>
    <n v="4177.66"/>
    <n v="1365"/>
    <n v="236"/>
    <n v="6"/>
    <s v="No"/>
    <n v="3323"/>
    <x v="1"/>
    <n v="1717018.26"/>
    <n v="502513.26"/>
    <d v="2025-08-07T00:00:00"/>
    <x v="1"/>
  </r>
  <r>
    <s v="ORD00558"/>
    <d v="2025-01-02T00:00:00"/>
    <x v="3"/>
    <x v="3"/>
    <x v="2"/>
    <x v="13"/>
    <x v="1"/>
    <x v="0"/>
    <n v="154"/>
    <n v="3373"/>
    <n v="4034.74"/>
    <n v="1903"/>
    <n v="125"/>
    <n v="7"/>
    <s v="No"/>
    <n v="7267"/>
    <x v="1"/>
    <n v="621349.96"/>
    <n v="101907.96"/>
    <d v="2025-01-02T00:00:00"/>
    <x v="6"/>
  </r>
  <r>
    <s v="ORD00559"/>
    <d v="2025-06-23T00:00:00"/>
    <x v="1"/>
    <x v="0"/>
    <x v="3"/>
    <x v="15"/>
    <x v="0"/>
    <x v="0"/>
    <n v="292"/>
    <n v="1150"/>
    <n v="1387.64"/>
    <n v="404"/>
    <n v="247"/>
    <n v="8"/>
    <s v="No"/>
    <n v="5527"/>
    <x v="2"/>
    <n v="405190.88"/>
    <n v="69390.880000000005"/>
    <d v="2025-06-23T00:00:00"/>
    <x v="7"/>
  </r>
  <r>
    <s v="ORD00560"/>
    <d v="2025-03-01T00:00:00"/>
    <x v="3"/>
    <x v="0"/>
    <x v="3"/>
    <x v="14"/>
    <x v="2"/>
    <x v="2"/>
    <n v="279"/>
    <n v="2076"/>
    <n v="2909.63"/>
    <n v="1901"/>
    <n v="164"/>
    <n v="4"/>
    <s v="Yes"/>
    <n v="4640"/>
    <x v="1"/>
    <n v="811786.77"/>
    <n v="232582.77"/>
    <d v="2025-03-01T00:00:00"/>
    <x v="3"/>
  </r>
  <r>
    <s v="ORD00561"/>
    <d v="2025-10-09T00:00:00"/>
    <x v="0"/>
    <x v="4"/>
    <x v="0"/>
    <x v="8"/>
    <x v="0"/>
    <x v="1"/>
    <n v="69"/>
    <n v="2398"/>
    <n v="3571.55"/>
    <n v="1872"/>
    <n v="117"/>
    <n v="7"/>
    <s v="No"/>
    <n v="6858"/>
    <x v="0"/>
    <n v="246436.95"/>
    <n v="80974.95"/>
    <d v="2025-10-09T00:00:00"/>
    <x v="11"/>
  </r>
  <r>
    <s v="ORD00562"/>
    <d v="2025-08-03T00:00:00"/>
    <x v="1"/>
    <x v="4"/>
    <x v="0"/>
    <x v="8"/>
    <x v="1"/>
    <x v="1"/>
    <n v="330"/>
    <n v="4425"/>
    <n v="5347.5"/>
    <n v="1067"/>
    <n v="264"/>
    <n v="7"/>
    <s v="No"/>
    <n v="6245"/>
    <x v="3"/>
    <n v="1764675"/>
    <n v="304425"/>
    <d v="2025-08-03T00:00:00"/>
    <x v="1"/>
  </r>
  <r>
    <s v="ORD00563"/>
    <d v="2025-12-18T00:00:00"/>
    <x v="1"/>
    <x v="4"/>
    <x v="2"/>
    <x v="10"/>
    <x v="2"/>
    <x v="2"/>
    <n v="426"/>
    <n v="4214"/>
    <n v="6031.5"/>
    <n v="728"/>
    <n v="193"/>
    <n v="6"/>
    <s v="No"/>
    <n v="6201"/>
    <x v="2"/>
    <n v="2569419"/>
    <n v="774255"/>
    <d v="2025-12-18T00:00:00"/>
    <x v="10"/>
  </r>
  <r>
    <s v="ORD00564"/>
    <d v="2025-11-02T00:00:00"/>
    <x v="3"/>
    <x v="0"/>
    <x v="3"/>
    <x v="14"/>
    <x v="0"/>
    <x v="1"/>
    <n v="325"/>
    <n v="611"/>
    <n v="817.24"/>
    <n v="1852"/>
    <n v="104"/>
    <n v="6"/>
    <s v="No"/>
    <n v="7674"/>
    <x v="3"/>
    <n v="265603"/>
    <n v="67028"/>
    <d v="2025-11-02T00:00:00"/>
    <x v="0"/>
  </r>
  <r>
    <s v="ORD00565"/>
    <d v="2025-04-17T00:00:00"/>
    <x v="0"/>
    <x v="0"/>
    <x v="2"/>
    <x v="18"/>
    <x v="0"/>
    <x v="1"/>
    <n v="27"/>
    <n v="2916"/>
    <n v="3438.89"/>
    <n v="499"/>
    <n v="119"/>
    <n v="7"/>
    <s v="No"/>
    <n v="6422"/>
    <x v="0"/>
    <n v="92850.03"/>
    <n v="14118.03"/>
    <d v="2025-04-17T00:00:00"/>
    <x v="8"/>
  </r>
  <r>
    <s v="ORD00566"/>
    <d v="2025-12-02T00:00:00"/>
    <x v="3"/>
    <x v="2"/>
    <x v="3"/>
    <x v="16"/>
    <x v="0"/>
    <x v="2"/>
    <n v="119"/>
    <n v="1625"/>
    <n v="2338.71"/>
    <n v="1874"/>
    <n v="105"/>
    <n v="4"/>
    <s v="Yes"/>
    <n v="4039"/>
    <x v="0"/>
    <n v="278306.49"/>
    <n v="84931.49"/>
    <d v="2025-12-02T00:00:00"/>
    <x v="10"/>
  </r>
  <r>
    <s v="ORD00567"/>
    <d v="2025-06-08T00:00:00"/>
    <x v="1"/>
    <x v="2"/>
    <x v="1"/>
    <x v="7"/>
    <x v="0"/>
    <x v="2"/>
    <n v="269"/>
    <n v="1193"/>
    <n v="1487.4"/>
    <n v="1360"/>
    <n v="82"/>
    <n v="6"/>
    <s v="No"/>
    <n v="348"/>
    <x v="1"/>
    <n v="400110.6"/>
    <n v="79193.600000000006"/>
    <d v="2025-06-08T00:00:00"/>
    <x v="7"/>
  </r>
  <r>
    <s v="ORD00568"/>
    <d v="2025-07-01T00:00:00"/>
    <x v="0"/>
    <x v="2"/>
    <x v="0"/>
    <x v="8"/>
    <x v="0"/>
    <x v="2"/>
    <n v="241"/>
    <n v="2843"/>
    <n v="3890.99"/>
    <n v="606"/>
    <n v="237"/>
    <n v="8"/>
    <s v="No"/>
    <n v="428"/>
    <x v="2"/>
    <n v="937728.59"/>
    <n v="252565.59"/>
    <d v="2025-07-01T00:00:00"/>
    <x v="9"/>
  </r>
  <r>
    <s v="ORD00569"/>
    <d v="2025-08-14T00:00:00"/>
    <x v="1"/>
    <x v="3"/>
    <x v="0"/>
    <x v="4"/>
    <x v="0"/>
    <x v="1"/>
    <n v="195"/>
    <n v="4587"/>
    <n v="5817.45"/>
    <n v="218"/>
    <n v="282"/>
    <n v="1"/>
    <s v="No"/>
    <n v="5594"/>
    <x v="0"/>
    <n v="1134402.75"/>
    <n v="239937.75"/>
    <d v="2025-08-14T00:00:00"/>
    <x v="1"/>
  </r>
  <r>
    <s v="ORD00570"/>
    <d v="2025-03-16T00:00:00"/>
    <x v="1"/>
    <x v="4"/>
    <x v="0"/>
    <x v="19"/>
    <x v="3"/>
    <x v="0"/>
    <n v="472"/>
    <n v="3414"/>
    <n v="4531.74"/>
    <n v="287"/>
    <n v="204"/>
    <n v="9"/>
    <s v="No"/>
    <n v="5860"/>
    <x v="3"/>
    <n v="2138981.2799999998"/>
    <n v="527573.28"/>
    <d v="2025-03-16T00:00:00"/>
    <x v="3"/>
  </r>
  <r>
    <s v="ORD00571"/>
    <d v="2025-12-29T00:00:00"/>
    <x v="3"/>
    <x v="3"/>
    <x v="3"/>
    <x v="16"/>
    <x v="2"/>
    <x v="1"/>
    <n v="310"/>
    <n v="813"/>
    <n v="967.22"/>
    <n v="461"/>
    <n v="125"/>
    <n v="7"/>
    <s v="No"/>
    <n v="3909"/>
    <x v="0"/>
    <n v="299838.2"/>
    <n v="47808.2"/>
    <d v="2025-12-29T00:00:00"/>
    <x v="10"/>
  </r>
  <r>
    <s v="ORD00572"/>
    <d v="2025-10-25T00:00:00"/>
    <x v="3"/>
    <x v="2"/>
    <x v="3"/>
    <x v="15"/>
    <x v="1"/>
    <x v="2"/>
    <n v="370"/>
    <n v="2921"/>
    <n v="3612.92"/>
    <n v="1912"/>
    <n v="266"/>
    <n v="3"/>
    <s v="Yes"/>
    <n v="6490"/>
    <x v="1"/>
    <n v="1336780.3999999999"/>
    <n v="256010.4"/>
    <d v="2025-10-25T00:00:00"/>
    <x v="11"/>
  </r>
  <r>
    <s v="ORD00573"/>
    <d v="2025-07-30T00:00:00"/>
    <x v="1"/>
    <x v="0"/>
    <x v="0"/>
    <x v="19"/>
    <x v="1"/>
    <x v="0"/>
    <n v="456"/>
    <n v="1768"/>
    <n v="2643.24"/>
    <n v="1975"/>
    <n v="236"/>
    <n v="10"/>
    <s v="No"/>
    <n v="5094"/>
    <x v="3"/>
    <n v="1205317.44"/>
    <n v="399109.44"/>
    <d v="2025-07-30T00:00:00"/>
    <x v="9"/>
  </r>
  <r>
    <s v="ORD00574"/>
    <d v="2025-01-30T00:00:00"/>
    <x v="3"/>
    <x v="2"/>
    <x v="2"/>
    <x v="5"/>
    <x v="0"/>
    <x v="2"/>
    <n v="330"/>
    <n v="3802"/>
    <n v="5331.14"/>
    <n v="1717"/>
    <n v="226"/>
    <n v="6"/>
    <s v="No"/>
    <n v="2650"/>
    <x v="0"/>
    <n v="1759276.2"/>
    <n v="504616.2"/>
    <d v="2025-01-30T00:00:00"/>
    <x v="6"/>
  </r>
  <r>
    <s v="ORD00575"/>
    <d v="2025-07-09T00:00:00"/>
    <x v="2"/>
    <x v="1"/>
    <x v="2"/>
    <x v="10"/>
    <x v="3"/>
    <x v="1"/>
    <n v="160"/>
    <n v="3923"/>
    <n v="4523.8"/>
    <n v="1222"/>
    <n v="214"/>
    <n v="8"/>
    <s v="No"/>
    <n v="2675"/>
    <x v="2"/>
    <n v="723808"/>
    <n v="96128"/>
    <d v="2025-07-09T00:00:00"/>
    <x v="9"/>
  </r>
  <r>
    <s v="ORD00576"/>
    <d v="2025-02-16T00:00:00"/>
    <x v="3"/>
    <x v="0"/>
    <x v="0"/>
    <x v="0"/>
    <x v="0"/>
    <x v="2"/>
    <n v="285"/>
    <n v="4317"/>
    <n v="6254.05"/>
    <n v="424"/>
    <n v="105"/>
    <n v="5"/>
    <s v="Yes"/>
    <n v="7905"/>
    <x v="1"/>
    <n v="1782404.25"/>
    <n v="552059.25"/>
    <d v="2025-02-16T00:00:00"/>
    <x v="5"/>
  </r>
  <r>
    <s v="ORD00577"/>
    <d v="2025-03-17T00:00:00"/>
    <x v="0"/>
    <x v="2"/>
    <x v="1"/>
    <x v="7"/>
    <x v="1"/>
    <x v="1"/>
    <n v="24"/>
    <n v="4312"/>
    <n v="4975.7"/>
    <n v="1303"/>
    <n v="122"/>
    <n v="3"/>
    <s v="Yes"/>
    <n v="7962"/>
    <x v="1"/>
    <n v="119416.8"/>
    <n v="15928.8"/>
    <d v="2025-03-17T00:00:00"/>
    <x v="3"/>
  </r>
  <r>
    <s v="ORD00578"/>
    <d v="2025-09-15T00:00:00"/>
    <x v="3"/>
    <x v="3"/>
    <x v="2"/>
    <x v="18"/>
    <x v="0"/>
    <x v="2"/>
    <n v="294"/>
    <n v="2803"/>
    <n v="3455.82"/>
    <n v="591"/>
    <n v="288"/>
    <n v="4"/>
    <s v="Yes"/>
    <n v="4579"/>
    <x v="1"/>
    <n v="1016011.08"/>
    <n v="191929.08"/>
    <d v="2025-09-15T00:00:00"/>
    <x v="4"/>
  </r>
  <r>
    <s v="ORD00579"/>
    <d v="2025-04-10T00:00:00"/>
    <x v="2"/>
    <x v="1"/>
    <x v="3"/>
    <x v="15"/>
    <x v="2"/>
    <x v="1"/>
    <n v="73"/>
    <n v="2106"/>
    <n v="2740.33"/>
    <n v="1509"/>
    <n v="282"/>
    <n v="3"/>
    <s v="Yes"/>
    <n v="3749"/>
    <x v="1"/>
    <n v="200044.09"/>
    <n v="46306.09"/>
    <d v="2025-04-10T00:00:00"/>
    <x v="8"/>
  </r>
  <r>
    <s v="ORD00580"/>
    <d v="2025-08-11T00:00:00"/>
    <x v="0"/>
    <x v="1"/>
    <x v="2"/>
    <x v="10"/>
    <x v="3"/>
    <x v="2"/>
    <n v="290"/>
    <n v="3039"/>
    <n v="4229.99"/>
    <n v="1756"/>
    <n v="264"/>
    <n v="10"/>
    <s v="No"/>
    <n v="3347"/>
    <x v="2"/>
    <n v="1226697.1000000001"/>
    <n v="345387.1"/>
    <d v="2025-08-11T00:00:00"/>
    <x v="1"/>
  </r>
  <r>
    <s v="ORD00581"/>
    <d v="2025-04-16T00:00:00"/>
    <x v="1"/>
    <x v="2"/>
    <x v="0"/>
    <x v="4"/>
    <x v="2"/>
    <x v="1"/>
    <n v="206"/>
    <n v="200"/>
    <n v="243.54"/>
    <n v="707"/>
    <n v="183"/>
    <n v="2"/>
    <s v="Yes"/>
    <n v="3724"/>
    <x v="0"/>
    <n v="50169.24"/>
    <n v="8969.24"/>
    <d v="2025-04-16T00:00:00"/>
    <x v="8"/>
  </r>
  <r>
    <s v="ORD00582"/>
    <d v="2025-09-13T00:00:00"/>
    <x v="2"/>
    <x v="0"/>
    <x v="3"/>
    <x v="9"/>
    <x v="2"/>
    <x v="1"/>
    <n v="270"/>
    <n v="3691"/>
    <n v="5483.95"/>
    <n v="348"/>
    <n v="232"/>
    <n v="1"/>
    <s v="Yes"/>
    <n v="6380"/>
    <x v="1"/>
    <n v="1480666.5"/>
    <n v="484096.5"/>
    <d v="2025-09-13T00:00:00"/>
    <x v="4"/>
  </r>
  <r>
    <s v="ORD00583"/>
    <d v="2025-01-24T00:00:00"/>
    <x v="1"/>
    <x v="0"/>
    <x v="3"/>
    <x v="16"/>
    <x v="2"/>
    <x v="2"/>
    <n v="472"/>
    <n v="1604"/>
    <n v="1972.18"/>
    <n v="170"/>
    <n v="103"/>
    <n v="7"/>
    <s v="No"/>
    <n v="5467"/>
    <x v="0"/>
    <n v="930868.96"/>
    <n v="173780.96"/>
    <d v="2025-01-24T00:00:00"/>
    <x v="6"/>
  </r>
  <r>
    <s v="ORD00584"/>
    <d v="2025-08-28T00:00:00"/>
    <x v="1"/>
    <x v="3"/>
    <x v="0"/>
    <x v="4"/>
    <x v="0"/>
    <x v="2"/>
    <n v="185"/>
    <n v="227"/>
    <n v="262.87"/>
    <n v="1487"/>
    <n v="185"/>
    <n v="4"/>
    <s v="Yes"/>
    <n v="6297"/>
    <x v="1"/>
    <n v="48630.95"/>
    <n v="6635.95"/>
    <d v="2025-08-28T00:00:00"/>
    <x v="1"/>
  </r>
  <r>
    <s v="ORD00585"/>
    <d v="2025-06-07T00:00:00"/>
    <x v="3"/>
    <x v="0"/>
    <x v="1"/>
    <x v="1"/>
    <x v="0"/>
    <x v="0"/>
    <n v="89"/>
    <n v="4565"/>
    <n v="6267.91"/>
    <n v="256"/>
    <n v="295"/>
    <n v="7"/>
    <s v="No"/>
    <n v="3129"/>
    <x v="1"/>
    <n v="557843.99"/>
    <n v="151558.99"/>
    <d v="2025-06-07T00:00:00"/>
    <x v="7"/>
  </r>
  <r>
    <s v="ORD00586"/>
    <d v="2025-03-15T00:00:00"/>
    <x v="1"/>
    <x v="2"/>
    <x v="1"/>
    <x v="1"/>
    <x v="3"/>
    <x v="0"/>
    <n v="434"/>
    <n v="700"/>
    <n v="895.63"/>
    <n v="1594"/>
    <n v="84"/>
    <n v="4"/>
    <s v="Yes"/>
    <n v="3054"/>
    <x v="1"/>
    <n v="388703.42"/>
    <n v="84903.42"/>
    <d v="2025-03-15T00:00:00"/>
    <x v="3"/>
  </r>
  <r>
    <s v="ORD00587"/>
    <d v="2025-06-08T00:00:00"/>
    <x v="2"/>
    <x v="2"/>
    <x v="3"/>
    <x v="15"/>
    <x v="3"/>
    <x v="1"/>
    <n v="37"/>
    <n v="4960"/>
    <n v="6600.99"/>
    <n v="716"/>
    <n v="106"/>
    <n v="4"/>
    <s v="No"/>
    <n v="3630"/>
    <x v="1"/>
    <n v="244236.63"/>
    <n v="60716.63"/>
    <d v="2025-06-08T00:00:00"/>
    <x v="7"/>
  </r>
  <r>
    <s v="ORD00588"/>
    <d v="2025-06-19T00:00:00"/>
    <x v="1"/>
    <x v="4"/>
    <x v="0"/>
    <x v="4"/>
    <x v="1"/>
    <x v="0"/>
    <n v="15"/>
    <n v="423"/>
    <n v="594.03"/>
    <n v="971"/>
    <n v="223"/>
    <n v="3"/>
    <s v="Yes"/>
    <n v="316"/>
    <x v="1"/>
    <n v="8910.4500000000007"/>
    <n v="2565.4499999999998"/>
    <d v="2025-06-19T00:00:00"/>
    <x v="7"/>
  </r>
  <r>
    <s v="ORD00589"/>
    <d v="2025-07-24T00:00:00"/>
    <x v="3"/>
    <x v="3"/>
    <x v="2"/>
    <x v="17"/>
    <x v="0"/>
    <x v="1"/>
    <n v="196"/>
    <n v="2274"/>
    <n v="2968.03"/>
    <n v="1607"/>
    <n v="247"/>
    <n v="1"/>
    <s v="Yes"/>
    <n v="4432"/>
    <x v="1"/>
    <n v="581733.88"/>
    <n v="136029.88"/>
    <d v="2025-07-24T00:00:00"/>
    <x v="9"/>
  </r>
  <r>
    <s v="ORD00590"/>
    <d v="2025-01-13T00:00:00"/>
    <x v="1"/>
    <x v="0"/>
    <x v="2"/>
    <x v="17"/>
    <x v="2"/>
    <x v="2"/>
    <n v="212"/>
    <n v="906"/>
    <n v="1077.3399999999999"/>
    <n v="1150"/>
    <n v="126"/>
    <n v="3"/>
    <s v="Yes"/>
    <n v="4460"/>
    <x v="1"/>
    <n v="228396.08"/>
    <n v="36324.080000000002"/>
    <d v="2025-01-13T00:00:00"/>
    <x v="6"/>
  </r>
  <r>
    <s v="ORD00591"/>
    <d v="2025-10-16T00:00:00"/>
    <x v="0"/>
    <x v="4"/>
    <x v="2"/>
    <x v="18"/>
    <x v="1"/>
    <x v="0"/>
    <n v="123"/>
    <n v="571"/>
    <n v="818.49"/>
    <n v="1510"/>
    <n v="173"/>
    <n v="1"/>
    <s v="Yes"/>
    <n v="7305"/>
    <x v="1"/>
    <n v="100674.27"/>
    <n v="30441.27"/>
    <d v="2025-10-16T00:00:00"/>
    <x v="11"/>
  </r>
  <r>
    <s v="ORD00592"/>
    <d v="2025-05-13T00:00:00"/>
    <x v="1"/>
    <x v="0"/>
    <x v="2"/>
    <x v="10"/>
    <x v="3"/>
    <x v="2"/>
    <n v="437"/>
    <n v="1586"/>
    <n v="2294.44"/>
    <n v="1309"/>
    <n v="186"/>
    <n v="4"/>
    <s v="Yes"/>
    <n v="1380"/>
    <x v="1"/>
    <n v="1002670.28"/>
    <n v="309588.28000000003"/>
    <d v="2025-05-13T00:00:00"/>
    <x v="2"/>
  </r>
  <r>
    <s v="ORD00593"/>
    <d v="2025-06-08T00:00:00"/>
    <x v="3"/>
    <x v="3"/>
    <x v="2"/>
    <x v="5"/>
    <x v="2"/>
    <x v="2"/>
    <n v="95"/>
    <n v="923"/>
    <n v="1310.22"/>
    <n v="580"/>
    <n v="226"/>
    <n v="7"/>
    <s v="No"/>
    <n v="4333"/>
    <x v="3"/>
    <n v="124470.9"/>
    <n v="36785.9"/>
    <d v="2025-06-08T00:00:00"/>
    <x v="7"/>
  </r>
  <r>
    <s v="ORD00594"/>
    <d v="2025-06-09T00:00:00"/>
    <x v="2"/>
    <x v="2"/>
    <x v="1"/>
    <x v="12"/>
    <x v="0"/>
    <x v="1"/>
    <n v="117"/>
    <n v="1765"/>
    <n v="2299.9"/>
    <n v="226"/>
    <n v="222"/>
    <n v="7"/>
    <s v="No"/>
    <n v="2471"/>
    <x v="2"/>
    <n v="269088.3"/>
    <n v="62583.3"/>
    <d v="2025-06-09T00:00:00"/>
    <x v="7"/>
  </r>
  <r>
    <s v="ORD00595"/>
    <d v="2025-02-11T00:00:00"/>
    <x v="1"/>
    <x v="1"/>
    <x v="3"/>
    <x v="14"/>
    <x v="3"/>
    <x v="0"/>
    <n v="218"/>
    <n v="2465"/>
    <n v="3277.13"/>
    <n v="496"/>
    <n v="164"/>
    <n v="8"/>
    <s v="No"/>
    <n v="3968"/>
    <x v="1"/>
    <n v="714414.34"/>
    <n v="177044.34"/>
    <d v="2025-02-11T00:00:00"/>
    <x v="5"/>
  </r>
  <r>
    <s v="ORD00596"/>
    <d v="2025-08-30T00:00:00"/>
    <x v="1"/>
    <x v="3"/>
    <x v="3"/>
    <x v="9"/>
    <x v="3"/>
    <x v="2"/>
    <n v="263"/>
    <n v="276"/>
    <n v="317.92"/>
    <n v="1574"/>
    <n v="224"/>
    <n v="10"/>
    <s v="No"/>
    <n v="6521"/>
    <x v="1"/>
    <n v="83612.960000000006"/>
    <n v="11024.96"/>
    <d v="2025-08-30T00:00:00"/>
    <x v="1"/>
  </r>
  <r>
    <s v="ORD00597"/>
    <d v="2025-02-27T00:00:00"/>
    <x v="0"/>
    <x v="3"/>
    <x v="1"/>
    <x v="7"/>
    <x v="1"/>
    <x v="0"/>
    <n v="32"/>
    <n v="1016"/>
    <n v="1247.08"/>
    <n v="288"/>
    <n v="289"/>
    <n v="5"/>
    <s v="Yes"/>
    <n v="6483"/>
    <x v="1"/>
    <n v="39906.559999999998"/>
    <n v="7394.56"/>
    <d v="2025-02-27T00:00:00"/>
    <x v="5"/>
  </r>
  <r>
    <s v="ORD00598"/>
    <d v="2025-02-23T00:00:00"/>
    <x v="1"/>
    <x v="0"/>
    <x v="1"/>
    <x v="12"/>
    <x v="1"/>
    <x v="1"/>
    <n v="99"/>
    <n v="4906"/>
    <n v="6986.1"/>
    <n v="1523"/>
    <n v="261"/>
    <n v="1"/>
    <s v="Yes"/>
    <n v="3751"/>
    <x v="1"/>
    <n v="691623.9"/>
    <n v="205929.9"/>
    <d v="2025-02-23T00:00:00"/>
    <x v="5"/>
  </r>
  <r>
    <s v="ORD00599"/>
    <d v="2025-06-04T00:00:00"/>
    <x v="3"/>
    <x v="2"/>
    <x v="2"/>
    <x v="10"/>
    <x v="3"/>
    <x v="1"/>
    <n v="86"/>
    <n v="4604"/>
    <n v="5415.43"/>
    <n v="174"/>
    <n v="93"/>
    <n v="9"/>
    <s v="No"/>
    <n v="7068"/>
    <x v="3"/>
    <n v="465726.98"/>
    <n v="69782.98"/>
    <d v="2025-06-04T00:00:00"/>
    <x v="7"/>
  </r>
  <r>
    <s v="ORD00600"/>
    <d v="2025-03-01T00:00:00"/>
    <x v="3"/>
    <x v="2"/>
    <x v="0"/>
    <x v="4"/>
    <x v="3"/>
    <x v="0"/>
    <n v="500"/>
    <n v="2439"/>
    <n v="3234.1"/>
    <n v="52"/>
    <n v="285"/>
    <n v="7"/>
    <s v="No"/>
    <n v="6919"/>
    <x v="3"/>
    <n v="1617050"/>
    <n v="397550"/>
    <d v="2025-03-01T00:00:00"/>
    <x v="3"/>
  </r>
  <r>
    <s v="ORD00601"/>
    <d v="2025-10-19T00:00:00"/>
    <x v="0"/>
    <x v="3"/>
    <x v="0"/>
    <x v="4"/>
    <x v="1"/>
    <x v="0"/>
    <n v="458"/>
    <n v="4776"/>
    <n v="7075.1"/>
    <n v="550"/>
    <n v="219"/>
    <n v="5"/>
    <s v="Yes"/>
    <n v="4498"/>
    <x v="1"/>
    <n v="3240395.8"/>
    <n v="1052987.8"/>
    <d v="2025-10-19T00:00:00"/>
    <x v="11"/>
  </r>
  <r>
    <s v="ORD00602"/>
    <d v="2025-11-20T00:00:00"/>
    <x v="2"/>
    <x v="0"/>
    <x v="3"/>
    <x v="6"/>
    <x v="1"/>
    <x v="1"/>
    <n v="39"/>
    <n v="2281"/>
    <n v="2944.97"/>
    <n v="1054"/>
    <n v="200"/>
    <n v="5"/>
    <s v="Yes"/>
    <n v="5940"/>
    <x v="1"/>
    <n v="114853.83"/>
    <n v="25894.83"/>
    <d v="2025-11-20T00:00:00"/>
    <x v="0"/>
  </r>
  <r>
    <s v="ORD00603"/>
    <d v="2025-12-01T00:00:00"/>
    <x v="1"/>
    <x v="3"/>
    <x v="1"/>
    <x v="3"/>
    <x v="1"/>
    <x v="2"/>
    <n v="19"/>
    <n v="3138"/>
    <n v="3613.09"/>
    <n v="1126"/>
    <n v="152"/>
    <n v="10"/>
    <s v="No"/>
    <n v="2926"/>
    <x v="3"/>
    <n v="68648.710000000006"/>
    <n v="9026.7099999999991"/>
    <d v="2025-12-01T00:00:00"/>
    <x v="10"/>
  </r>
  <r>
    <s v="ORD00604"/>
    <d v="2025-01-17T00:00:00"/>
    <x v="0"/>
    <x v="0"/>
    <x v="2"/>
    <x v="18"/>
    <x v="1"/>
    <x v="1"/>
    <n v="433"/>
    <n v="1089"/>
    <n v="1253.03"/>
    <n v="1243"/>
    <n v="107"/>
    <n v="8"/>
    <s v="No"/>
    <n v="5971"/>
    <x v="1"/>
    <n v="542561.99"/>
    <n v="71024.990000000005"/>
    <d v="2025-01-17T00:00:00"/>
    <x v="6"/>
  </r>
  <r>
    <s v="ORD00605"/>
    <d v="2025-04-09T00:00:00"/>
    <x v="3"/>
    <x v="2"/>
    <x v="0"/>
    <x v="0"/>
    <x v="1"/>
    <x v="0"/>
    <n v="452"/>
    <n v="2966"/>
    <n v="3838.65"/>
    <n v="642"/>
    <n v="187"/>
    <n v="8"/>
    <s v="No"/>
    <n v="4487"/>
    <x v="1"/>
    <n v="1735069.8"/>
    <n v="394437.8"/>
    <d v="2025-04-09T00:00:00"/>
    <x v="8"/>
  </r>
  <r>
    <s v="ORD00606"/>
    <d v="2025-03-01T00:00:00"/>
    <x v="1"/>
    <x v="4"/>
    <x v="2"/>
    <x v="18"/>
    <x v="3"/>
    <x v="2"/>
    <n v="186"/>
    <n v="4845"/>
    <n v="6100.58"/>
    <n v="607"/>
    <n v="90"/>
    <n v="5"/>
    <s v="Yes"/>
    <n v="3090"/>
    <x v="1"/>
    <n v="1134707.8799999999"/>
    <n v="233537.88"/>
    <d v="2025-03-01T00:00:00"/>
    <x v="3"/>
  </r>
  <r>
    <s v="ORD00607"/>
    <d v="2025-06-08T00:00:00"/>
    <x v="0"/>
    <x v="3"/>
    <x v="0"/>
    <x v="19"/>
    <x v="0"/>
    <x v="1"/>
    <n v="264"/>
    <n v="1461"/>
    <n v="1710.45"/>
    <n v="668"/>
    <n v="297"/>
    <n v="10"/>
    <s v="No"/>
    <n v="2784"/>
    <x v="1"/>
    <n v="451558.8"/>
    <n v="65854.8"/>
    <d v="2025-06-08T00:00:00"/>
    <x v="7"/>
  </r>
  <r>
    <s v="ORD00608"/>
    <d v="2025-06-07T00:00:00"/>
    <x v="0"/>
    <x v="3"/>
    <x v="2"/>
    <x v="5"/>
    <x v="2"/>
    <x v="2"/>
    <n v="283"/>
    <n v="3093"/>
    <n v="4021.88"/>
    <n v="1367"/>
    <n v="212"/>
    <n v="4"/>
    <s v="Yes"/>
    <n v="5426"/>
    <x v="1"/>
    <n v="1138192.04"/>
    <n v="262873.03999999998"/>
    <d v="2025-06-07T00:00:00"/>
    <x v="7"/>
  </r>
  <r>
    <s v="ORD00609"/>
    <d v="2025-03-20T00:00:00"/>
    <x v="2"/>
    <x v="0"/>
    <x v="3"/>
    <x v="9"/>
    <x v="0"/>
    <x v="1"/>
    <n v="314"/>
    <n v="1287"/>
    <n v="1711.19"/>
    <n v="674"/>
    <n v="146"/>
    <n v="7"/>
    <s v="No"/>
    <n v="2062"/>
    <x v="1"/>
    <n v="537313.66"/>
    <n v="133195.66"/>
    <d v="2025-03-20T00:00:00"/>
    <x v="3"/>
  </r>
  <r>
    <s v="ORD00610"/>
    <d v="2025-10-10T00:00:00"/>
    <x v="0"/>
    <x v="2"/>
    <x v="1"/>
    <x v="1"/>
    <x v="2"/>
    <x v="0"/>
    <n v="101"/>
    <n v="2474"/>
    <n v="2865.13"/>
    <n v="355"/>
    <n v="190"/>
    <n v="3"/>
    <s v="Yes"/>
    <n v="7556"/>
    <x v="1"/>
    <n v="289378.13"/>
    <n v="39504.129999999997"/>
    <d v="2025-10-10T00:00:00"/>
    <x v="11"/>
  </r>
  <r>
    <s v="ORD00611"/>
    <d v="2025-04-09T00:00:00"/>
    <x v="2"/>
    <x v="1"/>
    <x v="2"/>
    <x v="5"/>
    <x v="1"/>
    <x v="2"/>
    <n v="152"/>
    <n v="3501"/>
    <n v="4737.5200000000004"/>
    <n v="443"/>
    <n v="128"/>
    <n v="6"/>
    <s v="No"/>
    <n v="7850"/>
    <x v="3"/>
    <n v="720103.04"/>
    <n v="187951.04"/>
    <d v="2025-04-09T00:00:00"/>
    <x v="8"/>
  </r>
  <r>
    <s v="ORD00612"/>
    <d v="2025-03-20T00:00:00"/>
    <x v="1"/>
    <x v="1"/>
    <x v="2"/>
    <x v="13"/>
    <x v="2"/>
    <x v="0"/>
    <n v="394"/>
    <n v="4374"/>
    <n v="5122.26"/>
    <n v="1164"/>
    <n v="215"/>
    <n v="1"/>
    <s v="Yes"/>
    <n v="4240"/>
    <x v="1"/>
    <n v="2018170.44"/>
    <n v="294814.44"/>
    <d v="2025-03-20T00:00:00"/>
    <x v="3"/>
  </r>
  <r>
    <s v="ORD00613"/>
    <d v="2025-09-04T00:00:00"/>
    <x v="2"/>
    <x v="4"/>
    <x v="1"/>
    <x v="1"/>
    <x v="1"/>
    <x v="2"/>
    <n v="211"/>
    <n v="1866"/>
    <n v="2389.85"/>
    <n v="1573"/>
    <n v="204"/>
    <n v="8"/>
    <s v="No"/>
    <n v="4653"/>
    <x v="1"/>
    <n v="504258.35"/>
    <n v="110532.35"/>
    <d v="2025-09-04T00:00:00"/>
    <x v="4"/>
  </r>
  <r>
    <s v="ORD00614"/>
    <d v="2025-05-15T00:00:00"/>
    <x v="3"/>
    <x v="2"/>
    <x v="0"/>
    <x v="8"/>
    <x v="1"/>
    <x v="1"/>
    <n v="186"/>
    <n v="1542"/>
    <n v="2145.5300000000002"/>
    <n v="747"/>
    <n v="186"/>
    <n v="3"/>
    <s v="Yes"/>
    <n v="5955"/>
    <x v="0"/>
    <n v="399068.58"/>
    <n v="112256.58"/>
    <d v="2025-05-15T00:00:00"/>
    <x v="2"/>
  </r>
  <r>
    <s v="ORD00615"/>
    <d v="2025-07-15T00:00:00"/>
    <x v="1"/>
    <x v="3"/>
    <x v="1"/>
    <x v="7"/>
    <x v="0"/>
    <x v="0"/>
    <n v="250"/>
    <n v="690"/>
    <n v="878.83"/>
    <n v="197"/>
    <n v="172"/>
    <n v="4"/>
    <s v="Yes"/>
    <n v="1208"/>
    <x v="1"/>
    <n v="219707.5"/>
    <n v="47207.5"/>
    <d v="2025-07-15T00:00:00"/>
    <x v="9"/>
  </r>
  <r>
    <s v="ORD00616"/>
    <d v="2025-09-25T00:00:00"/>
    <x v="1"/>
    <x v="4"/>
    <x v="0"/>
    <x v="8"/>
    <x v="2"/>
    <x v="2"/>
    <n v="79"/>
    <n v="4067"/>
    <n v="5883.02"/>
    <n v="589"/>
    <n v="154"/>
    <n v="8"/>
    <s v="No"/>
    <n v="5224"/>
    <x v="2"/>
    <n v="464758.58"/>
    <n v="143465.57999999999"/>
    <d v="2025-09-25T00:00:00"/>
    <x v="4"/>
  </r>
  <r>
    <s v="ORD00617"/>
    <d v="2025-08-10T00:00:00"/>
    <x v="0"/>
    <x v="1"/>
    <x v="2"/>
    <x v="18"/>
    <x v="0"/>
    <x v="1"/>
    <n v="376"/>
    <n v="2268"/>
    <n v="3257.4"/>
    <n v="1902"/>
    <n v="147"/>
    <n v="1"/>
    <s v="Yes"/>
    <n v="3506"/>
    <x v="1"/>
    <n v="1224782.3999999999"/>
    <n v="372014.4"/>
    <d v="2025-08-10T00:00:00"/>
    <x v="1"/>
  </r>
  <r>
    <s v="ORD00618"/>
    <d v="2025-04-08T00:00:00"/>
    <x v="3"/>
    <x v="3"/>
    <x v="2"/>
    <x v="18"/>
    <x v="2"/>
    <x v="2"/>
    <n v="365"/>
    <n v="3034"/>
    <n v="3540.02"/>
    <n v="370"/>
    <n v="228"/>
    <n v="6"/>
    <s v="No"/>
    <n v="5676"/>
    <x v="0"/>
    <n v="1292107.3"/>
    <n v="184697.3"/>
    <d v="2025-04-08T00:00:00"/>
    <x v="8"/>
  </r>
  <r>
    <s v="ORD00619"/>
    <d v="2025-05-06T00:00:00"/>
    <x v="3"/>
    <x v="0"/>
    <x v="0"/>
    <x v="0"/>
    <x v="3"/>
    <x v="0"/>
    <n v="368"/>
    <n v="3373"/>
    <n v="4401.1000000000004"/>
    <n v="718"/>
    <n v="239"/>
    <n v="1"/>
    <s v="Yes"/>
    <n v="7991"/>
    <x v="1"/>
    <n v="1619604.8"/>
    <n v="378340.8"/>
    <d v="2025-05-06T00:00:00"/>
    <x v="2"/>
  </r>
  <r>
    <s v="ORD00620"/>
    <d v="2025-01-30T00:00:00"/>
    <x v="1"/>
    <x v="3"/>
    <x v="0"/>
    <x v="0"/>
    <x v="1"/>
    <x v="2"/>
    <n v="100"/>
    <n v="2535"/>
    <n v="3189.91"/>
    <n v="838"/>
    <n v="206"/>
    <n v="7"/>
    <s v="No"/>
    <n v="4093"/>
    <x v="2"/>
    <n v="318991"/>
    <n v="65491"/>
    <d v="2025-01-30T00:00:00"/>
    <x v="6"/>
  </r>
  <r>
    <s v="ORD00621"/>
    <d v="2025-07-10T00:00:00"/>
    <x v="3"/>
    <x v="4"/>
    <x v="2"/>
    <x v="17"/>
    <x v="3"/>
    <x v="2"/>
    <n v="127"/>
    <n v="923"/>
    <n v="1179.25"/>
    <n v="694"/>
    <n v="186"/>
    <n v="10"/>
    <s v="No"/>
    <n v="2385"/>
    <x v="3"/>
    <n v="149764.75"/>
    <n v="32543.75"/>
    <d v="2025-07-10T00:00:00"/>
    <x v="9"/>
  </r>
  <r>
    <s v="ORD00622"/>
    <d v="2025-12-03T00:00:00"/>
    <x v="0"/>
    <x v="0"/>
    <x v="2"/>
    <x v="5"/>
    <x v="1"/>
    <x v="2"/>
    <n v="238"/>
    <n v="2573"/>
    <n v="3085.29"/>
    <n v="407"/>
    <n v="198"/>
    <n v="5"/>
    <s v="No"/>
    <n v="4020"/>
    <x v="3"/>
    <n v="734299.02"/>
    <n v="121925.02"/>
    <d v="2025-12-03T00:00:00"/>
    <x v="10"/>
  </r>
  <r>
    <s v="ORD00623"/>
    <d v="2025-11-05T00:00:00"/>
    <x v="0"/>
    <x v="4"/>
    <x v="1"/>
    <x v="3"/>
    <x v="0"/>
    <x v="0"/>
    <n v="272"/>
    <n v="3784"/>
    <n v="5620.48"/>
    <n v="1481"/>
    <n v="219"/>
    <n v="7"/>
    <s v="No"/>
    <n v="7245"/>
    <x v="3"/>
    <n v="1528770.5600000001"/>
    <n v="499522.56"/>
    <d v="2025-11-05T00:00:00"/>
    <x v="0"/>
  </r>
  <r>
    <s v="ORD00624"/>
    <d v="2025-10-09T00:00:00"/>
    <x v="1"/>
    <x v="2"/>
    <x v="3"/>
    <x v="15"/>
    <x v="1"/>
    <x v="1"/>
    <n v="360"/>
    <n v="2961"/>
    <n v="3759.62"/>
    <n v="1514"/>
    <n v="149"/>
    <n v="9"/>
    <s v="No"/>
    <n v="7293"/>
    <x v="0"/>
    <n v="1353463.2"/>
    <n v="287503.2"/>
    <d v="2025-10-09T00:00:00"/>
    <x v="11"/>
  </r>
  <r>
    <s v="ORD00625"/>
    <d v="2025-10-08T00:00:00"/>
    <x v="3"/>
    <x v="3"/>
    <x v="3"/>
    <x v="6"/>
    <x v="0"/>
    <x v="2"/>
    <n v="127"/>
    <n v="4605"/>
    <n v="5943.49"/>
    <n v="1258"/>
    <n v="147"/>
    <n v="5"/>
    <s v="Yes"/>
    <n v="1909"/>
    <x v="1"/>
    <n v="754823.23"/>
    <n v="169988.23"/>
    <d v="2025-10-08T00:00:00"/>
    <x v="11"/>
  </r>
  <r>
    <s v="ORD00626"/>
    <d v="2025-12-08T00:00:00"/>
    <x v="0"/>
    <x v="4"/>
    <x v="0"/>
    <x v="4"/>
    <x v="2"/>
    <x v="1"/>
    <n v="466"/>
    <n v="363"/>
    <n v="488.52"/>
    <n v="1727"/>
    <n v="238"/>
    <n v="3"/>
    <s v="Yes"/>
    <n v="4490"/>
    <x v="0"/>
    <n v="227650.32"/>
    <n v="58492.32"/>
    <d v="2025-12-08T00:00:00"/>
    <x v="10"/>
  </r>
  <r>
    <s v="ORD00627"/>
    <d v="2025-05-13T00:00:00"/>
    <x v="1"/>
    <x v="3"/>
    <x v="0"/>
    <x v="2"/>
    <x v="3"/>
    <x v="0"/>
    <n v="197"/>
    <n v="1591"/>
    <n v="1870.64"/>
    <n v="302"/>
    <n v="155"/>
    <n v="2"/>
    <s v="Yes"/>
    <n v="2004"/>
    <x v="1"/>
    <n v="368516.08"/>
    <n v="55089.08"/>
    <d v="2025-05-13T00:00:00"/>
    <x v="2"/>
  </r>
  <r>
    <s v="ORD00628"/>
    <d v="2025-09-27T00:00:00"/>
    <x v="1"/>
    <x v="3"/>
    <x v="1"/>
    <x v="11"/>
    <x v="1"/>
    <x v="0"/>
    <n v="439"/>
    <n v="1814"/>
    <n v="2302.9499999999998"/>
    <n v="929"/>
    <n v="125"/>
    <n v="10"/>
    <s v="No"/>
    <n v="7532"/>
    <x v="0"/>
    <n v="1010995.05"/>
    <n v="214649.05"/>
    <d v="2025-09-27T00:00:00"/>
    <x v="4"/>
  </r>
  <r>
    <s v="ORD00629"/>
    <d v="2025-10-13T00:00:00"/>
    <x v="2"/>
    <x v="3"/>
    <x v="1"/>
    <x v="7"/>
    <x v="0"/>
    <x v="1"/>
    <n v="334"/>
    <n v="3228"/>
    <n v="4457.6099999999997"/>
    <n v="805"/>
    <n v="176"/>
    <n v="4"/>
    <s v="Yes"/>
    <n v="3967"/>
    <x v="1"/>
    <n v="1488841.74"/>
    <n v="410689.74"/>
    <d v="2025-10-13T00:00:00"/>
    <x v="11"/>
  </r>
  <r>
    <s v="ORD00630"/>
    <d v="2025-06-07T00:00:00"/>
    <x v="0"/>
    <x v="1"/>
    <x v="2"/>
    <x v="18"/>
    <x v="1"/>
    <x v="0"/>
    <n v="65"/>
    <n v="3329"/>
    <n v="4876.8599999999997"/>
    <n v="788"/>
    <n v="202"/>
    <n v="1"/>
    <s v="Yes"/>
    <n v="368"/>
    <x v="1"/>
    <n v="316995.90000000002"/>
    <n v="100610.9"/>
    <d v="2025-06-07T00:00:00"/>
    <x v="7"/>
  </r>
  <r>
    <s v="ORD00631"/>
    <d v="2025-04-16T00:00:00"/>
    <x v="0"/>
    <x v="3"/>
    <x v="3"/>
    <x v="6"/>
    <x v="0"/>
    <x v="0"/>
    <n v="429"/>
    <n v="1641"/>
    <n v="2296.9499999999998"/>
    <n v="368"/>
    <n v="298"/>
    <n v="5"/>
    <s v="Yes"/>
    <n v="6220"/>
    <x v="1"/>
    <n v="985391.55"/>
    <n v="281402.55"/>
    <d v="2025-04-16T00:00:00"/>
    <x v="8"/>
  </r>
  <r>
    <s v="ORD00632"/>
    <d v="2025-03-30T00:00:00"/>
    <x v="3"/>
    <x v="1"/>
    <x v="0"/>
    <x v="2"/>
    <x v="0"/>
    <x v="0"/>
    <n v="283"/>
    <n v="263"/>
    <n v="364.91"/>
    <n v="137"/>
    <n v="264"/>
    <n v="7"/>
    <s v="No"/>
    <n v="4316"/>
    <x v="3"/>
    <n v="103269.53"/>
    <n v="28840.53"/>
    <d v="2025-03-30T00:00:00"/>
    <x v="3"/>
  </r>
  <r>
    <s v="ORD00633"/>
    <d v="2025-06-07T00:00:00"/>
    <x v="3"/>
    <x v="1"/>
    <x v="2"/>
    <x v="13"/>
    <x v="1"/>
    <x v="2"/>
    <n v="314"/>
    <n v="355"/>
    <n v="497.51"/>
    <n v="843"/>
    <n v="236"/>
    <n v="10"/>
    <s v="No"/>
    <n v="1671"/>
    <x v="3"/>
    <n v="156218.14000000001"/>
    <n v="44748.14"/>
    <d v="2025-06-07T00:00:00"/>
    <x v="7"/>
  </r>
  <r>
    <s v="ORD00634"/>
    <d v="2025-12-27T00:00:00"/>
    <x v="3"/>
    <x v="2"/>
    <x v="2"/>
    <x v="18"/>
    <x v="3"/>
    <x v="0"/>
    <n v="431"/>
    <n v="947"/>
    <n v="1219.68"/>
    <n v="1616"/>
    <n v="192"/>
    <n v="7"/>
    <s v="No"/>
    <n v="611"/>
    <x v="0"/>
    <n v="525682.07999999996"/>
    <n v="117525.08"/>
    <d v="2025-12-27T00:00:00"/>
    <x v="10"/>
  </r>
  <r>
    <s v="ORD00635"/>
    <d v="2025-05-26T00:00:00"/>
    <x v="3"/>
    <x v="0"/>
    <x v="2"/>
    <x v="18"/>
    <x v="3"/>
    <x v="1"/>
    <n v="258"/>
    <n v="826"/>
    <n v="1218.6400000000001"/>
    <n v="714"/>
    <n v="299"/>
    <n v="9"/>
    <s v="No"/>
    <n v="4627"/>
    <x v="3"/>
    <n v="314409.12"/>
    <n v="101301.12"/>
    <d v="2025-05-26T00:00:00"/>
    <x v="2"/>
  </r>
  <r>
    <s v="ORD00636"/>
    <d v="2025-04-30T00:00:00"/>
    <x v="3"/>
    <x v="3"/>
    <x v="1"/>
    <x v="12"/>
    <x v="3"/>
    <x v="0"/>
    <n v="22"/>
    <n v="3011"/>
    <n v="3615.12"/>
    <n v="832"/>
    <n v="121"/>
    <n v="8"/>
    <s v="No"/>
    <n v="2920"/>
    <x v="2"/>
    <n v="79532.639999999999"/>
    <n v="13290.64"/>
    <d v="2025-04-30T00:00:00"/>
    <x v="8"/>
  </r>
  <r>
    <s v="ORD00637"/>
    <d v="2025-10-27T00:00:00"/>
    <x v="3"/>
    <x v="1"/>
    <x v="1"/>
    <x v="12"/>
    <x v="1"/>
    <x v="1"/>
    <n v="62"/>
    <n v="1892"/>
    <n v="2493.0700000000002"/>
    <n v="1855"/>
    <n v="242"/>
    <n v="3"/>
    <s v="Yes"/>
    <n v="5639"/>
    <x v="1"/>
    <n v="154570.34"/>
    <n v="37266.339999999997"/>
    <d v="2025-10-27T00:00:00"/>
    <x v="11"/>
  </r>
  <r>
    <s v="ORD00638"/>
    <d v="2025-02-09T00:00:00"/>
    <x v="3"/>
    <x v="3"/>
    <x v="0"/>
    <x v="0"/>
    <x v="0"/>
    <x v="2"/>
    <n v="226"/>
    <n v="578"/>
    <n v="825.4"/>
    <n v="183"/>
    <n v="165"/>
    <n v="7"/>
    <s v="No"/>
    <n v="3022"/>
    <x v="1"/>
    <n v="186540.4"/>
    <n v="55912.4"/>
    <d v="2025-02-09T00:00:00"/>
    <x v="5"/>
  </r>
  <r>
    <s v="ORD00639"/>
    <d v="2025-02-15T00:00:00"/>
    <x v="1"/>
    <x v="2"/>
    <x v="0"/>
    <x v="0"/>
    <x v="0"/>
    <x v="1"/>
    <n v="24"/>
    <n v="3105"/>
    <n v="4608.4799999999996"/>
    <n v="606"/>
    <n v="211"/>
    <n v="10"/>
    <s v="No"/>
    <n v="2007"/>
    <x v="1"/>
    <n v="110603.52"/>
    <n v="36083.519999999997"/>
    <d v="2025-02-15T00:00:00"/>
    <x v="5"/>
  </r>
  <r>
    <s v="ORD00640"/>
    <d v="2025-11-08T00:00:00"/>
    <x v="3"/>
    <x v="1"/>
    <x v="2"/>
    <x v="18"/>
    <x v="2"/>
    <x v="1"/>
    <n v="280"/>
    <n v="766"/>
    <n v="941.83"/>
    <n v="1200"/>
    <n v="83"/>
    <n v="1"/>
    <s v="Yes"/>
    <n v="6651"/>
    <x v="1"/>
    <n v="263712.40000000002"/>
    <n v="49232.4"/>
    <d v="2025-11-08T00:00:00"/>
    <x v="0"/>
  </r>
  <r>
    <s v="ORD00641"/>
    <d v="2025-10-05T00:00:00"/>
    <x v="0"/>
    <x v="2"/>
    <x v="2"/>
    <x v="17"/>
    <x v="0"/>
    <x v="0"/>
    <n v="250"/>
    <n v="1762"/>
    <n v="2426.25"/>
    <n v="1436"/>
    <n v="109"/>
    <n v="9"/>
    <s v="No"/>
    <n v="3451"/>
    <x v="1"/>
    <n v="606562.5"/>
    <n v="166062.5"/>
    <d v="2025-10-05T00:00:00"/>
    <x v="11"/>
  </r>
  <r>
    <s v="ORD00642"/>
    <d v="2025-09-01T00:00:00"/>
    <x v="2"/>
    <x v="3"/>
    <x v="2"/>
    <x v="10"/>
    <x v="3"/>
    <x v="0"/>
    <n v="152"/>
    <n v="1254"/>
    <n v="1843.87"/>
    <n v="1422"/>
    <n v="212"/>
    <n v="8"/>
    <s v="No"/>
    <n v="7503"/>
    <x v="2"/>
    <n v="280268.24"/>
    <n v="89660.24"/>
    <d v="2025-09-01T00:00:00"/>
    <x v="4"/>
  </r>
  <r>
    <s v="ORD00643"/>
    <d v="2025-09-03T00:00:00"/>
    <x v="2"/>
    <x v="3"/>
    <x v="3"/>
    <x v="6"/>
    <x v="2"/>
    <x v="1"/>
    <n v="34"/>
    <n v="1264"/>
    <n v="1674.68"/>
    <n v="1787"/>
    <n v="103"/>
    <n v="10"/>
    <s v="No"/>
    <n v="1168"/>
    <x v="1"/>
    <n v="56939.12"/>
    <n v="13963.12"/>
    <d v="2025-09-03T00:00:00"/>
    <x v="4"/>
  </r>
  <r>
    <s v="ORD00644"/>
    <d v="2025-06-02T00:00:00"/>
    <x v="2"/>
    <x v="2"/>
    <x v="0"/>
    <x v="2"/>
    <x v="3"/>
    <x v="2"/>
    <n v="282"/>
    <n v="136"/>
    <n v="190.61"/>
    <n v="1085"/>
    <n v="182"/>
    <n v="6"/>
    <s v="No"/>
    <n v="6085"/>
    <x v="2"/>
    <n v="53752.02"/>
    <n v="15400.02"/>
    <d v="2025-06-02T00:00:00"/>
    <x v="7"/>
  </r>
  <r>
    <s v="ORD00645"/>
    <d v="2025-03-22T00:00:00"/>
    <x v="3"/>
    <x v="3"/>
    <x v="2"/>
    <x v="18"/>
    <x v="1"/>
    <x v="0"/>
    <n v="13"/>
    <n v="4865"/>
    <n v="6830.22"/>
    <n v="400"/>
    <n v="156"/>
    <n v="10"/>
    <s v="No"/>
    <n v="1505"/>
    <x v="2"/>
    <n v="88792.86"/>
    <n v="25547.86"/>
    <d v="2025-03-22T00:00:00"/>
    <x v="3"/>
  </r>
  <r>
    <s v="ORD00646"/>
    <d v="2025-04-22T00:00:00"/>
    <x v="0"/>
    <x v="3"/>
    <x v="0"/>
    <x v="2"/>
    <x v="0"/>
    <x v="0"/>
    <n v="373"/>
    <n v="2450"/>
    <n v="3366.52"/>
    <n v="1492"/>
    <n v="144"/>
    <n v="8"/>
    <s v="No"/>
    <n v="7839"/>
    <x v="0"/>
    <n v="1255711.96"/>
    <n v="341861.96"/>
    <d v="2025-04-22T00:00:00"/>
    <x v="8"/>
  </r>
  <r>
    <s v="ORD00647"/>
    <d v="2025-01-09T00:00:00"/>
    <x v="2"/>
    <x v="2"/>
    <x v="2"/>
    <x v="10"/>
    <x v="2"/>
    <x v="1"/>
    <n v="457"/>
    <n v="3489"/>
    <n v="5123.09"/>
    <n v="186"/>
    <n v="158"/>
    <n v="10"/>
    <s v="No"/>
    <n v="5013"/>
    <x v="3"/>
    <n v="2341252.13"/>
    <n v="746779.13"/>
    <d v="2025-01-09T00:00:00"/>
    <x v="6"/>
  </r>
  <r>
    <s v="ORD00648"/>
    <d v="2025-04-17T00:00:00"/>
    <x v="2"/>
    <x v="3"/>
    <x v="1"/>
    <x v="12"/>
    <x v="2"/>
    <x v="1"/>
    <n v="316"/>
    <n v="1386"/>
    <n v="1694.34"/>
    <n v="789"/>
    <n v="248"/>
    <n v="10"/>
    <s v="No"/>
    <n v="1566"/>
    <x v="2"/>
    <n v="535411.43999999994"/>
    <n v="97435.44"/>
    <d v="2025-04-17T00:00:00"/>
    <x v="8"/>
  </r>
  <r>
    <s v="ORD00649"/>
    <d v="2025-09-27T00:00:00"/>
    <x v="3"/>
    <x v="4"/>
    <x v="1"/>
    <x v="11"/>
    <x v="0"/>
    <x v="1"/>
    <n v="347"/>
    <n v="4726"/>
    <n v="6685.49"/>
    <n v="417"/>
    <n v="149"/>
    <n v="6"/>
    <s v="No"/>
    <n v="1285"/>
    <x v="0"/>
    <n v="2319865.0299999998"/>
    <n v="679943.03"/>
    <d v="2025-09-27T00:00:00"/>
    <x v="4"/>
  </r>
  <r>
    <s v="ORD00650"/>
    <d v="2025-08-30T00:00:00"/>
    <x v="2"/>
    <x v="0"/>
    <x v="3"/>
    <x v="9"/>
    <x v="1"/>
    <x v="1"/>
    <n v="200"/>
    <n v="1347"/>
    <n v="1934.99"/>
    <n v="1980"/>
    <n v="182"/>
    <n v="10"/>
    <s v="No"/>
    <n v="7456"/>
    <x v="2"/>
    <n v="386998"/>
    <n v="117598"/>
    <d v="2025-08-30T00:00:00"/>
    <x v="1"/>
  </r>
  <r>
    <s v="ORD00651"/>
    <d v="2025-02-11T00:00:00"/>
    <x v="2"/>
    <x v="1"/>
    <x v="2"/>
    <x v="18"/>
    <x v="1"/>
    <x v="0"/>
    <n v="71"/>
    <n v="3020"/>
    <n v="3945.73"/>
    <n v="506"/>
    <n v="202"/>
    <n v="5"/>
    <s v="Yes"/>
    <n v="1035"/>
    <x v="1"/>
    <n v="280146.83"/>
    <n v="65726.83"/>
    <d v="2025-02-11T00:00:00"/>
    <x v="5"/>
  </r>
  <r>
    <s v="ORD00652"/>
    <d v="2025-12-21T00:00:00"/>
    <x v="1"/>
    <x v="0"/>
    <x v="1"/>
    <x v="1"/>
    <x v="2"/>
    <x v="1"/>
    <n v="267"/>
    <n v="1476"/>
    <n v="2027.38"/>
    <n v="1431"/>
    <n v="263"/>
    <n v="4"/>
    <s v="Yes"/>
    <n v="302"/>
    <x v="1"/>
    <n v="541310.46"/>
    <n v="147218.46"/>
    <d v="2025-12-21T00:00:00"/>
    <x v="10"/>
  </r>
  <r>
    <s v="ORD00653"/>
    <d v="2025-11-04T00:00:00"/>
    <x v="3"/>
    <x v="4"/>
    <x v="3"/>
    <x v="16"/>
    <x v="3"/>
    <x v="2"/>
    <n v="241"/>
    <n v="1971"/>
    <n v="2599.65"/>
    <n v="1351"/>
    <n v="296"/>
    <n v="4"/>
    <s v="Yes"/>
    <n v="3821"/>
    <x v="1"/>
    <n v="626515.65"/>
    <n v="151504.65"/>
    <d v="2025-11-04T00:00:00"/>
    <x v="0"/>
  </r>
  <r>
    <s v="ORD00654"/>
    <d v="2025-06-18T00:00:00"/>
    <x v="3"/>
    <x v="1"/>
    <x v="0"/>
    <x v="2"/>
    <x v="0"/>
    <x v="1"/>
    <n v="200"/>
    <n v="4150"/>
    <n v="6004.92"/>
    <n v="241"/>
    <n v="104"/>
    <n v="9"/>
    <s v="No"/>
    <n v="982"/>
    <x v="2"/>
    <n v="1200984"/>
    <n v="370984"/>
    <d v="2025-06-18T00:00:00"/>
    <x v="7"/>
  </r>
  <r>
    <s v="ORD00655"/>
    <d v="2025-12-23T00:00:00"/>
    <x v="2"/>
    <x v="2"/>
    <x v="0"/>
    <x v="4"/>
    <x v="0"/>
    <x v="1"/>
    <n v="330"/>
    <n v="4150"/>
    <n v="6105.83"/>
    <n v="1282"/>
    <n v="95"/>
    <n v="7"/>
    <s v="No"/>
    <n v="1429"/>
    <x v="3"/>
    <n v="2014923.9"/>
    <n v="645423.9"/>
    <d v="2025-12-23T00:00:00"/>
    <x v="10"/>
  </r>
  <r>
    <s v="ORD00656"/>
    <d v="2025-03-11T00:00:00"/>
    <x v="0"/>
    <x v="1"/>
    <x v="3"/>
    <x v="15"/>
    <x v="3"/>
    <x v="2"/>
    <n v="385"/>
    <n v="1792"/>
    <n v="2187.8200000000002"/>
    <n v="1271"/>
    <n v="274"/>
    <n v="8"/>
    <s v="No"/>
    <n v="5755"/>
    <x v="1"/>
    <n v="842310.7"/>
    <n v="152390.70000000001"/>
    <d v="2025-03-11T00:00:00"/>
    <x v="3"/>
  </r>
  <r>
    <s v="ORD00657"/>
    <d v="2025-02-27T00:00:00"/>
    <x v="2"/>
    <x v="0"/>
    <x v="3"/>
    <x v="6"/>
    <x v="0"/>
    <x v="2"/>
    <n v="468"/>
    <n v="4350"/>
    <n v="6021.19"/>
    <n v="859"/>
    <n v="120"/>
    <n v="1"/>
    <s v="Yes"/>
    <n v="607"/>
    <x v="1"/>
    <n v="2817916.92"/>
    <n v="782116.92"/>
    <d v="2025-02-27T00:00:00"/>
    <x v="5"/>
  </r>
  <r>
    <s v="ORD00658"/>
    <d v="2025-07-01T00:00:00"/>
    <x v="1"/>
    <x v="4"/>
    <x v="0"/>
    <x v="4"/>
    <x v="2"/>
    <x v="0"/>
    <n v="346"/>
    <n v="4696"/>
    <n v="5928.26"/>
    <n v="1287"/>
    <n v="238"/>
    <n v="7"/>
    <s v="No"/>
    <n v="3104"/>
    <x v="1"/>
    <n v="2051177.96"/>
    <n v="426361.96"/>
    <d v="2025-07-01T00:00:00"/>
    <x v="9"/>
  </r>
  <r>
    <s v="ORD00659"/>
    <d v="2025-01-31T00:00:00"/>
    <x v="2"/>
    <x v="3"/>
    <x v="0"/>
    <x v="19"/>
    <x v="2"/>
    <x v="0"/>
    <n v="195"/>
    <n v="1239"/>
    <n v="1632.53"/>
    <n v="1928"/>
    <n v="206"/>
    <n v="7"/>
    <s v="No"/>
    <n v="6633"/>
    <x v="1"/>
    <n v="318343.34999999998"/>
    <n v="76738.350000000006"/>
    <d v="2025-01-31T00:00:00"/>
    <x v="6"/>
  </r>
  <r>
    <s v="ORD00660"/>
    <d v="2025-02-25T00:00:00"/>
    <x v="2"/>
    <x v="2"/>
    <x v="0"/>
    <x v="4"/>
    <x v="3"/>
    <x v="1"/>
    <n v="418"/>
    <n v="2829"/>
    <n v="3874.42"/>
    <n v="343"/>
    <n v="238"/>
    <n v="10"/>
    <s v="No"/>
    <n v="3467"/>
    <x v="0"/>
    <n v="1619507.56"/>
    <n v="436985.56"/>
    <d v="2025-02-25T00:00:00"/>
    <x v="5"/>
  </r>
  <r>
    <s v="ORD00661"/>
    <d v="2025-03-01T00:00:00"/>
    <x v="0"/>
    <x v="4"/>
    <x v="3"/>
    <x v="6"/>
    <x v="0"/>
    <x v="2"/>
    <n v="481"/>
    <n v="1139"/>
    <n v="1585.45"/>
    <n v="768"/>
    <n v="168"/>
    <n v="5"/>
    <s v="Yes"/>
    <n v="2647"/>
    <x v="1"/>
    <n v="762601.45"/>
    <n v="214742.45"/>
    <d v="2025-03-01T00:00:00"/>
    <x v="3"/>
  </r>
  <r>
    <s v="ORD00662"/>
    <d v="2025-11-08T00:00:00"/>
    <x v="1"/>
    <x v="1"/>
    <x v="3"/>
    <x v="9"/>
    <x v="3"/>
    <x v="2"/>
    <n v="341"/>
    <n v="1881"/>
    <n v="2463.9699999999998"/>
    <n v="348"/>
    <n v="215"/>
    <n v="6"/>
    <s v="No"/>
    <n v="2030"/>
    <x v="1"/>
    <n v="840213.77"/>
    <n v="198792.77"/>
    <d v="2025-11-08T00:00:00"/>
    <x v="0"/>
  </r>
  <r>
    <s v="ORD00663"/>
    <d v="2025-03-01T00:00:00"/>
    <x v="0"/>
    <x v="3"/>
    <x v="3"/>
    <x v="9"/>
    <x v="1"/>
    <x v="1"/>
    <n v="101"/>
    <n v="3967"/>
    <n v="5894.68"/>
    <n v="969"/>
    <n v="147"/>
    <n v="7"/>
    <s v="No"/>
    <n v="6575"/>
    <x v="0"/>
    <n v="595362.68000000005"/>
    <n v="194695.67999999999"/>
    <d v="2025-03-01T00:00:00"/>
    <x v="3"/>
  </r>
  <r>
    <s v="ORD00664"/>
    <d v="2025-02-18T00:00:00"/>
    <x v="1"/>
    <x v="1"/>
    <x v="0"/>
    <x v="19"/>
    <x v="3"/>
    <x v="1"/>
    <n v="51"/>
    <n v="2232"/>
    <n v="2974.13"/>
    <n v="1009"/>
    <n v="116"/>
    <n v="2"/>
    <s v="No"/>
    <n v="1446"/>
    <x v="0"/>
    <n v="151680.63"/>
    <n v="37848.629999999997"/>
    <d v="2025-02-18T00:00:00"/>
    <x v="5"/>
  </r>
  <r>
    <s v="ORD00665"/>
    <d v="2025-10-04T00:00:00"/>
    <x v="1"/>
    <x v="2"/>
    <x v="2"/>
    <x v="5"/>
    <x v="3"/>
    <x v="0"/>
    <n v="59"/>
    <n v="4770"/>
    <n v="7143.44"/>
    <n v="294"/>
    <n v="221"/>
    <n v="9"/>
    <s v="No"/>
    <n v="4258"/>
    <x v="1"/>
    <n v="421462.96"/>
    <n v="140032.95999999999"/>
    <d v="2025-10-04T00:00:00"/>
    <x v="11"/>
  </r>
  <r>
    <s v="ORD00666"/>
    <d v="2025-08-25T00:00:00"/>
    <x v="2"/>
    <x v="4"/>
    <x v="3"/>
    <x v="16"/>
    <x v="0"/>
    <x v="1"/>
    <n v="380"/>
    <n v="1698"/>
    <n v="2539.19"/>
    <n v="789"/>
    <n v="283"/>
    <n v="9"/>
    <s v="No"/>
    <n v="933"/>
    <x v="0"/>
    <n v="964892.2"/>
    <n v="319652.2"/>
    <d v="2025-08-25T00:00:00"/>
    <x v="1"/>
  </r>
  <r>
    <s v="ORD00667"/>
    <d v="2025-07-14T00:00:00"/>
    <x v="1"/>
    <x v="3"/>
    <x v="0"/>
    <x v="2"/>
    <x v="1"/>
    <x v="0"/>
    <n v="95"/>
    <n v="2854"/>
    <n v="3837.52"/>
    <n v="485"/>
    <n v="165"/>
    <n v="1"/>
    <s v="Yes"/>
    <n v="4813"/>
    <x v="1"/>
    <n v="364564.4"/>
    <n v="93434.4"/>
    <d v="2025-07-14T00:00:00"/>
    <x v="9"/>
  </r>
  <r>
    <s v="ORD00668"/>
    <d v="2025-03-13T00:00:00"/>
    <x v="2"/>
    <x v="3"/>
    <x v="1"/>
    <x v="7"/>
    <x v="0"/>
    <x v="2"/>
    <n v="305"/>
    <n v="1667"/>
    <n v="2339.0500000000002"/>
    <n v="1619"/>
    <n v="225"/>
    <n v="8"/>
    <s v="No"/>
    <n v="2046"/>
    <x v="1"/>
    <n v="713410.25"/>
    <n v="204975.25"/>
    <d v="2025-03-13T00:00:00"/>
    <x v="3"/>
  </r>
  <r>
    <s v="ORD00669"/>
    <d v="2025-01-12T00:00:00"/>
    <x v="2"/>
    <x v="4"/>
    <x v="3"/>
    <x v="14"/>
    <x v="0"/>
    <x v="1"/>
    <n v="249"/>
    <n v="4838"/>
    <n v="6948.29"/>
    <n v="1664"/>
    <n v="173"/>
    <n v="5"/>
    <s v="Yes"/>
    <n v="2387"/>
    <x v="1"/>
    <n v="1730124.21"/>
    <n v="525462.21"/>
    <d v="2025-01-12T00:00:00"/>
    <x v="6"/>
  </r>
  <r>
    <s v="ORD00670"/>
    <d v="2025-12-17T00:00:00"/>
    <x v="3"/>
    <x v="3"/>
    <x v="2"/>
    <x v="13"/>
    <x v="0"/>
    <x v="0"/>
    <n v="94"/>
    <n v="3037"/>
    <n v="3493.25"/>
    <n v="1181"/>
    <n v="147"/>
    <n v="3"/>
    <s v="Yes"/>
    <n v="4701"/>
    <x v="1"/>
    <n v="328365.5"/>
    <n v="42887.5"/>
    <d v="2025-12-17T00:00:00"/>
    <x v="10"/>
  </r>
  <r>
    <s v="ORD00671"/>
    <d v="2025-11-23T00:00:00"/>
    <x v="0"/>
    <x v="3"/>
    <x v="3"/>
    <x v="9"/>
    <x v="0"/>
    <x v="2"/>
    <n v="302"/>
    <n v="471"/>
    <n v="548.79"/>
    <n v="1286"/>
    <n v="291"/>
    <n v="4"/>
    <s v="Yes"/>
    <n v="7117"/>
    <x v="1"/>
    <n v="165734.57999999999"/>
    <n v="23492.58"/>
    <d v="2025-11-23T00:00:00"/>
    <x v="0"/>
  </r>
  <r>
    <s v="ORD00672"/>
    <d v="2025-06-23T00:00:00"/>
    <x v="1"/>
    <x v="0"/>
    <x v="1"/>
    <x v="1"/>
    <x v="3"/>
    <x v="0"/>
    <n v="392"/>
    <n v="3793"/>
    <n v="5232.8900000000003"/>
    <n v="929"/>
    <n v="116"/>
    <n v="9"/>
    <s v="No"/>
    <n v="2118"/>
    <x v="0"/>
    <n v="2051292.88"/>
    <n v="564436.88"/>
    <d v="2025-06-23T00:00:00"/>
    <x v="7"/>
  </r>
  <r>
    <s v="ORD00673"/>
    <d v="2025-07-07T00:00:00"/>
    <x v="1"/>
    <x v="4"/>
    <x v="2"/>
    <x v="18"/>
    <x v="1"/>
    <x v="0"/>
    <n v="58"/>
    <n v="2945"/>
    <n v="4030.01"/>
    <n v="1119"/>
    <n v="170"/>
    <n v="3"/>
    <s v="Yes"/>
    <n v="2457"/>
    <x v="1"/>
    <n v="233740.58"/>
    <n v="62930.58"/>
    <d v="2025-07-07T00:00:00"/>
    <x v="9"/>
  </r>
  <r>
    <s v="ORD00674"/>
    <d v="2025-07-25T00:00:00"/>
    <x v="0"/>
    <x v="0"/>
    <x v="2"/>
    <x v="18"/>
    <x v="1"/>
    <x v="2"/>
    <n v="17"/>
    <n v="2086"/>
    <n v="2519.81"/>
    <n v="841"/>
    <n v="125"/>
    <n v="1"/>
    <s v="Yes"/>
    <n v="4718"/>
    <x v="1"/>
    <n v="42836.77"/>
    <n v="7374.77"/>
    <d v="2025-07-25T00:00:00"/>
    <x v="9"/>
  </r>
  <r>
    <s v="ORD00675"/>
    <d v="2025-05-28T00:00:00"/>
    <x v="3"/>
    <x v="4"/>
    <x v="0"/>
    <x v="19"/>
    <x v="1"/>
    <x v="2"/>
    <n v="45"/>
    <n v="348"/>
    <n v="475.15"/>
    <n v="1360"/>
    <n v="220"/>
    <n v="4"/>
    <s v="Yes"/>
    <n v="3288"/>
    <x v="1"/>
    <n v="21381.75"/>
    <n v="5721.75"/>
    <d v="2025-05-28T00:00:00"/>
    <x v="2"/>
  </r>
  <r>
    <s v="ORD00676"/>
    <d v="2025-03-23T00:00:00"/>
    <x v="2"/>
    <x v="1"/>
    <x v="1"/>
    <x v="7"/>
    <x v="0"/>
    <x v="0"/>
    <n v="334"/>
    <n v="1893"/>
    <n v="2751.89"/>
    <n v="349"/>
    <n v="249"/>
    <n v="5"/>
    <s v="Yes"/>
    <n v="4623"/>
    <x v="1"/>
    <n v="919131.26"/>
    <n v="286869.26"/>
    <d v="2025-03-23T00:00:00"/>
    <x v="3"/>
  </r>
  <r>
    <s v="ORD00677"/>
    <d v="2025-07-24T00:00:00"/>
    <x v="0"/>
    <x v="4"/>
    <x v="0"/>
    <x v="0"/>
    <x v="1"/>
    <x v="1"/>
    <n v="268"/>
    <n v="1015"/>
    <n v="1167.76"/>
    <n v="1181"/>
    <n v="142"/>
    <n v="2"/>
    <s v="Yes"/>
    <n v="6950"/>
    <x v="1"/>
    <n v="312959.68"/>
    <n v="40939.68"/>
    <d v="2025-07-24T00:00:00"/>
    <x v="9"/>
  </r>
  <r>
    <s v="ORD00678"/>
    <d v="2025-08-25T00:00:00"/>
    <x v="2"/>
    <x v="0"/>
    <x v="0"/>
    <x v="4"/>
    <x v="2"/>
    <x v="1"/>
    <n v="236"/>
    <n v="548"/>
    <n v="816.51"/>
    <n v="1416"/>
    <n v="173"/>
    <n v="1"/>
    <s v="Yes"/>
    <n v="2697"/>
    <x v="0"/>
    <n v="192696.36"/>
    <n v="63368.36"/>
    <d v="2025-08-25T00:00:00"/>
    <x v="1"/>
  </r>
  <r>
    <s v="ORD00679"/>
    <d v="2025-05-28T00:00:00"/>
    <x v="2"/>
    <x v="0"/>
    <x v="3"/>
    <x v="16"/>
    <x v="0"/>
    <x v="2"/>
    <n v="250"/>
    <n v="2908"/>
    <n v="4131.32"/>
    <n v="1822"/>
    <n v="85"/>
    <n v="1"/>
    <s v="Yes"/>
    <n v="695"/>
    <x v="1"/>
    <n v="1032830"/>
    <n v="305830"/>
    <d v="2025-05-28T00:00:00"/>
    <x v="2"/>
  </r>
  <r>
    <s v="ORD00680"/>
    <d v="2025-01-04T00:00:00"/>
    <x v="1"/>
    <x v="1"/>
    <x v="1"/>
    <x v="3"/>
    <x v="2"/>
    <x v="1"/>
    <n v="41"/>
    <n v="3949"/>
    <n v="5748.38"/>
    <n v="1700"/>
    <n v="271"/>
    <n v="5"/>
    <s v="Yes"/>
    <n v="4653"/>
    <x v="1"/>
    <n v="235683.58"/>
    <n v="73774.58"/>
    <d v="2025-01-04T00:00:00"/>
    <x v="6"/>
  </r>
  <r>
    <s v="ORD00681"/>
    <d v="2025-10-29T00:00:00"/>
    <x v="3"/>
    <x v="0"/>
    <x v="2"/>
    <x v="13"/>
    <x v="3"/>
    <x v="1"/>
    <n v="232"/>
    <n v="673"/>
    <n v="863.78"/>
    <n v="739"/>
    <n v="278"/>
    <n v="3"/>
    <s v="Yes"/>
    <n v="5628"/>
    <x v="0"/>
    <n v="200396.96"/>
    <n v="44260.959999999999"/>
    <d v="2025-10-29T00:00:00"/>
    <x v="11"/>
  </r>
  <r>
    <s v="ORD00682"/>
    <d v="2025-09-30T00:00:00"/>
    <x v="3"/>
    <x v="4"/>
    <x v="0"/>
    <x v="0"/>
    <x v="0"/>
    <x v="1"/>
    <n v="200"/>
    <n v="3363"/>
    <n v="3988.77"/>
    <n v="337"/>
    <n v="107"/>
    <n v="1"/>
    <s v="Yes"/>
    <n v="7738"/>
    <x v="1"/>
    <n v="797754"/>
    <n v="125154"/>
    <d v="2025-09-30T00:00:00"/>
    <x v="4"/>
  </r>
  <r>
    <s v="ORD00683"/>
    <d v="2025-05-03T00:00:00"/>
    <x v="3"/>
    <x v="2"/>
    <x v="1"/>
    <x v="7"/>
    <x v="2"/>
    <x v="0"/>
    <n v="56"/>
    <n v="283"/>
    <n v="330.23"/>
    <n v="1532"/>
    <n v="254"/>
    <n v="6"/>
    <s v="No"/>
    <n v="6786"/>
    <x v="3"/>
    <n v="18492.88"/>
    <n v="2644.88"/>
    <d v="2025-05-03T00:00:00"/>
    <x v="2"/>
  </r>
  <r>
    <s v="ORD00684"/>
    <d v="2025-04-22T00:00:00"/>
    <x v="2"/>
    <x v="4"/>
    <x v="0"/>
    <x v="4"/>
    <x v="3"/>
    <x v="0"/>
    <n v="269"/>
    <n v="3681"/>
    <n v="5451.3"/>
    <n v="1383"/>
    <n v="130"/>
    <n v="5"/>
    <s v="Yes"/>
    <n v="4432"/>
    <x v="1"/>
    <n v="1466399.7"/>
    <n v="476210.7"/>
    <d v="2025-04-22T00:00:00"/>
    <x v="8"/>
  </r>
  <r>
    <s v="ORD00685"/>
    <d v="2025-05-10T00:00:00"/>
    <x v="3"/>
    <x v="3"/>
    <x v="0"/>
    <x v="4"/>
    <x v="3"/>
    <x v="0"/>
    <n v="214"/>
    <n v="1973"/>
    <n v="2552.8200000000002"/>
    <n v="1987"/>
    <n v="116"/>
    <n v="5"/>
    <s v="Yes"/>
    <n v="7789"/>
    <x v="1"/>
    <n v="546303.48"/>
    <n v="124081.48"/>
    <d v="2025-05-10T00:00:00"/>
    <x v="2"/>
  </r>
  <r>
    <s v="ORD00686"/>
    <d v="2025-02-02T00:00:00"/>
    <x v="0"/>
    <x v="2"/>
    <x v="0"/>
    <x v="0"/>
    <x v="1"/>
    <x v="2"/>
    <n v="54"/>
    <n v="4213"/>
    <n v="5027.1099999999997"/>
    <n v="1933"/>
    <n v="142"/>
    <n v="4"/>
    <s v="Yes"/>
    <n v="6253"/>
    <x v="1"/>
    <n v="271463.94"/>
    <n v="43961.94"/>
    <d v="2025-02-02T00:00:00"/>
    <x v="5"/>
  </r>
  <r>
    <s v="ORD00687"/>
    <d v="2025-09-23T00:00:00"/>
    <x v="2"/>
    <x v="4"/>
    <x v="0"/>
    <x v="19"/>
    <x v="0"/>
    <x v="2"/>
    <n v="178"/>
    <n v="1658"/>
    <n v="2044.59"/>
    <n v="1873"/>
    <n v="143"/>
    <n v="4"/>
    <s v="No"/>
    <n v="4700"/>
    <x v="2"/>
    <n v="363937.02"/>
    <n v="68813.02"/>
    <d v="2025-09-23T00:00:00"/>
    <x v="4"/>
  </r>
  <r>
    <s v="ORD00688"/>
    <d v="2025-10-10T00:00:00"/>
    <x v="2"/>
    <x v="0"/>
    <x v="2"/>
    <x v="18"/>
    <x v="2"/>
    <x v="0"/>
    <n v="489"/>
    <n v="3031"/>
    <n v="4090.2"/>
    <n v="1382"/>
    <n v="226"/>
    <n v="5"/>
    <s v="Yes"/>
    <n v="6454"/>
    <x v="1"/>
    <n v="2000107.8"/>
    <n v="517948.8"/>
    <d v="2025-10-10T00:00:00"/>
    <x v="11"/>
  </r>
  <r>
    <s v="ORD00689"/>
    <d v="2025-12-05T00:00:00"/>
    <x v="3"/>
    <x v="3"/>
    <x v="1"/>
    <x v="7"/>
    <x v="1"/>
    <x v="1"/>
    <n v="18"/>
    <n v="3392"/>
    <n v="4744.38"/>
    <n v="800"/>
    <n v="96"/>
    <n v="5"/>
    <s v="Yes"/>
    <n v="4892"/>
    <x v="1"/>
    <n v="85398.84"/>
    <n v="24342.84"/>
    <d v="2025-12-05T00:00:00"/>
    <x v="10"/>
  </r>
  <r>
    <s v="ORD00690"/>
    <d v="2025-10-29T00:00:00"/>
    <x v="2"/>
    <x v="2"/>
    <x v="3"/>
    <x v="16"/>
    <x v="1"/>
    <x v="0"/>
    <n v="271"/>
    <n v="4284"/>
    <n v="6280.06"/>
    <n v="588"/>
    <n v="111"/>
    <n v="8"/>
    <s v="No"/>
    <n v="6184"/>
    <x v="0"/>
    <n v="1701896.26"/>
    <n v="540932.26"/>
    <d v="2025-10-29T00:00:00"/>
    <x v="11"/>
  </r>
  <r>
    <s v="ORD00691"/>
    <d v="2025-03-21T00:00:00"/>
    <x v="3"/>
    <x v="2"/>
    <x v="3"/>
    <x v="16"/>
    <x v="2"/>
    <x v="1"/>
    <n v="262"/>
    <n v="2140"/>
    <n v="2780.83"/>
    <n v="1314"/>
    <n v="253"/>
    <n v="8"/>
    <s v="No"/>
    <n v="695"/>
    <x v="1"/>
    <n v="728577.46"/>
    <n v="167897.46"/>
    <d v="2025-03-21T00:00:00"/>
    <x v="3"/>
  </r>
  <r>
    <s v="ORD00692"/>
    <d v="2025-09-05T00:00:00"/>
    <x v="1"/>
    <x v="4"/>
    <x v="0"/>
    <x v="8"/>
    <x v="0"/>
    <x v="0"/>
    <n v="35"/>
    <n v="4873"/>
    <n v="5890.95"/>
    <n v="1324"/>
    <n v="243"/>
    <n v="1"/>
    <s v="Yes"/>
    <n v="4560"/>
    <x v="1"/>
    <n v="206183.25"/>
    <n v="35628.25"/>
    <d v="2025-09-05T00:00:00"/>
    <x v="4"/>
  </r>
  <r>
    <s v="ORD00693"/>
    <d v="2025-08-08T00:00:00"/>
    <x v="3"/>
    <x v="2"/>
    <x v="2"/>
    <x v="18"/>
    <x v="2"/>
    <x v="0"/>
    <n v="379"/>
    <n v="3058"/>
    <n v="3732.94"/>
    <n v="209"/>
    <n v="215"/>
    <n v="1"/>
    <s v="Yes"/>
    <n v="7347"/>
    <x v="1"/>
    <n v="1414784.26"/>
    <n v="255802.26"/>
    <d v="2025-08-08T00:00:00"/>
    <x v="1"/>
  </r>
  <r>
    <s v="ORD00694"/>
    <d v="2025-10-28T00:00:00"/>
    <x v="1"/>
    <x v="4"/>
    <x v="2"/>
    <x v="17"/>
    <x v="3"/>
    <x v="0"/>
    <n v="294"/>
    <n v="3310"/>
    <n v="3808.38"/>
    <n v="536"/>
    <n v="88"/>
    <n v="1"/>
    <s v="Yes"/>
    <n v="4793"/>
    <x v="1"/>
    <n v="1119663.72"/>
    <n v="146523.72"/>
    <d v="2025-10-28T00:00:00"/>
    <x v="11"/>
  </r>
  <r>
    <s v="ORD00695"/>
    <d v="2025-08-10T00:00:00"/>
    <x v="1"/>
    <x v="1"/>
    <x v="1"/>
    <x v="12"/>
    <x v="1"/>
    <x v="2"/>
    <n v="136"/>
    <n v="1578"/>
    <n v="1919.93"/>
    <n v="992"/>
    <n v="170"/>
    <n v="6"/>
    <s v="No"/>
    <n v="4554"/>
    <x v="0"/>
    <n v="261110.48"/>
    <n v="46502.48"/>
    <d v="2025-08-10T00:00:00"/>
    <x v="1"/>
  </r>
  <r>
    <s v="ORD00696"/>
    <d v="2025-07-15T00:00:00"/>
    <x v="3"/>
    <x v="2"/>
    <x v="0"/>
    <x v="0"/>
    <x v="0"/>
    <x v="2"/>
    <n v="343"/>
    <n v="4671"/>
    <n v="5734.78"/>
    <n v="272"/>
    <n v="118"/>
    <n v="4"/>
    <s v="Yes"/>
    <n v="1937"/>
    <x v="1"/>
    <n v="1967029.54"/>
    <n v="364876.54"/>
    <d v="2025-07-15T00:00:00"/>
    <x v="9"/>
  </r>
  <r>
    <s v="ORD00697"/>
    <d v="2025-09-17T00:00:00"/>
    <x v="2"/>
    <x v="2"/>
    <x v="1"/>
    <x v="12"/>
    <x v="2"/>
    <x v="1"/>
    <n v="481"/>
    <n v="103"/>
    <n v="150.31"/>
    <n v="1712"/>
    <n v="269"/>
    <n v="8"/>
    <s v="No"/>
    <n v="3734"/>
    <x v="1"/>
    <n v="72299.11"/>
    <n v="22756.11"/>
    <d v="2025-09-17T00:00:00"/>
    <x v="4"/>
  </r>
  <r>
    <s v="ORD00698"/>
    <d v="2025-09-08T00:00:00"/>
    <x v="2"/>
    <x v="1"/>
    <x v="0"/>
    <x v="2"/>
    <x v="3"/>
    <x v="0"/>
    <n v="380"/>
    <n v="2953"/>
    <n v="4045.97"/>
    <n v="822"/>
    <n v="141"/>
    <n v="7"/>
    <s v="No"/>
    <n v="1684"/>
    <x v="3"/>
    <n v="1537468.6"/>
    <n v="415328.6"/>
    <d v="2025-09-08T00:00:00"/>
    <x v="4"/>
  </r>
  <r>
    <s v="ORD00699"/>
    <d v="2025-07-24T00:00:00"/>
    <x v="2"/>
    <x v="2"/>
    <x v="2"/>
    <x v="18"/>
    <x v="2"/>
    <x v="0"/>
    <n v="280"/>
    <n v="412"/>
    <n v="507.06"/>
    <n v="1309"/>
    <n v="123"/>
    <n v="1"/>
    <s v="Yes"/>
    <n v="7896"/>
    <x v="1"/>
    <n v="141976.79999999999"/>
    <n v="26616.799999999999"/>
    <d v="2025-07-24T00:00:00"/>
    <x v="9"/>
  </r>
  <r>
    <s v="ORD00700"/>
    <d v="2025-09-11T00:00:00"/>
    <x v="3"/>
    <x v="0"/>
    <x v="2"/>
    <x v="10"/>
    <x v="1"/>
    <x v="0"/>
    <n v="456"/>
    <n v="3110"/>
    <n v="4272.32"/>
    <n v="854"/>
    <n v="206"/>
    <n v="5"/>
    <s v="No"/>
    <n v="6661"/>
    <x v="3"/>
    <n v="1948177.92"/>
    <n v="530017.92000000004"/>
    <d v="2025-09-11T00:00:00"/>
    <x v="4"/>
  </r>
  <r>
    <s v="ORD00701"/>
    <d v="2025-10-12T00:00:00"/>
    <x v="1"/>
    <x v="1"/>
    <x v="1"/>
    <x v="3"/>
    <x v="3"/>
    <x v="2"/>
    <n v="218"/>
    <n v="3598"/>
    <n v="5304.88"/>
    <n v="1814"/>
    <n v="213"/>
    <n v="6"/>
    <s v="No"/>
    <n v="907"/>
    <x v="2"/>
    <n v="1156463.8400000001"/>
    <n v="372099.84000000003"/>
    <d v="2025-10-12T00:00:00"/>
    <x v="11"/>
  </r>
  <r>
    <s v="ORD00702"/>
    <d v="2025-08-24T00:00:00"/>
    <x v="1"/>
    <x v="4"/>
    <x v="0"/>
    <x v="4"/>
    <x v="3"/>
    <x v="0"/>
    <n v="40"/>
    <n v="3419"/>
    <n v="4533.1099999999997"/>
    <n v="461"/>
    <n v="106"/>
    <n v="9"/>
    <s v="No"/>
    <n v="3173"/>
    <x v="2"/>
    <n v="181324.4"/>
    <n v="44564.4"/>
    <d v="2025-08-24T00:00:00"/>
    <x v="1"/>
  </r>
  <r>
    <s v="ORD00703"/>
    <d v="2025-07-22T00:00:00"/>
    <x v="1"/>
    <x v="1"/>
    <x v="3"/>
    <x v="15"/>
    <x v="1"/>
    <x v="0"/>
    <n v="214"/>
    <n v="1678"/>
    <n v="2387.86"/>
    <n v="1804"/>
    <n v="248"/>
    <n v="10"/>
    <s v="No"/>
    <n v="2223"/>
    <x v="2"/>
    <n v="511002.04"/>
    <n v="151910.04"/>
    <d v="2025-07-22T00:00:00"/>
    <x v="9"/>
  </r>
  <r>
    <s v="ORD00704"/>
    <d v="2025-09-01T00:00:00"/>
    <x v="3"/>
    <x v="3"/>
    <x v="3"/>
    <x v="14"/>
    <x v="0"/>
    <x v="1"/>
    <n v="302"/>
    <n v="288"/>
    <n v="372.66"/>
    <n v="1967"/>
    <n v="119"/>
    <n v="10"/>
    <s v="No"/>
    <n v="4032"/>
    <x v="3"/>
    <n v="112543.32"/>
    <n v="25567.32"/>
    <d v="2025-09-01T00:00:00"/>
    <x v="4"/>
  </r>
  <r>
    <s v="ORD00705"/>
    <d v="2025-08-05T00:00:00"/>
    <x v="1"/>
    <x v="2"/>
    <x v="2"/>
    <x v="18"/>
    <x v="2"/>
    <x v="2"/>
    <n v="339"/>
    <n v="2855"/>
    <n v="3453.43"/>
    <n v="645"/>
    <n v="231"/>
    <n v="5"/>
    <s v="Yes"/>
    <n v="7323"/>
    <x v="1"/>
    <n v="1170712.77"/>
    <n v="202867.77"/>
    <d v="2025-08-05T00:00:00"/>
    <x v="1"/>
  </r>
  <r>
    <s v="ORD00706"/>
    <d v="2025-07-05T00:00:00"/>
    <x v="3"/>
    <x v="4"/>
    <x v="3"/>
    <x v="15"/>
    <x v="2"/>
    <x v="0"/>
    <n v="458"/>
    <n v="2718"/>
    <n v="3770.73"/>
    <n v="848"/>
    <n v="297"/>
    <n v="9"/>
    <s v="No"/>
    <n v="1777"/>
    <x v="3"/>
    <n v="1726994.34"/>
    <n v="482150.34"/>
    <d v="2025-07-05T00:00:00"/>
    <x v="9"/>
  </r>
  <r>
    <s v="ORD00707"/>
    <d v="2025-07-09T00:00:00"/>
    <x v="0"/>
    <x v="4"/>
    <x v="1"/>
    <x v="3"/>
    <x v="3"/>
    <x v="2"/>
    <n v="345"/>
    <n v="3256"/>
    <n v="4034.82"/>
    <n v="1204"/>
    <n v="252"/>
    <n v="4"/>
    <s v="No"/>
    <n v="5320"/>
    <x v="3"/>
    <n v="1392012.9"/>
    <n v="268692.90000000002"/>
    <d v="2025-07-09T00:00:00"/>
    <x v="9"/>
  </r>
  <r>
    <s v="ORD00708"/>
    <d v="2025-04-07T00:00:00"/>
    <x v="2"/>
    <x v="1"/>
    <x v="2"/>
    <x v="10"/>
    <x v="2"/>
    <x v="2"/>
    <n v="30"/>
    <n v="4135"/>
    <n v="5036.29"/>
    <n v="977"/>
    <n v="205"/>
    <n v="6"/>
    <s v="No"/>
    <n v="4655"/>
    <x v="1"/>
    <n v="151088.70000000001"/>
    <n v="27038.7"/>
    <d v="2025-04-07T00:00:00"/>
    <x v="8"/>
  </r>
  <r>
    <s v="ORD00709"/>
    <d v="2025-04-09T00:00:00"/>
    <x v="3"/>
    <x v="4"/>
    <x v="0"/>
    <x v="19"/>
    <x v="0"/>
    <x v="1"/>
    <n v="220"/>
    <n v="1283"/>
    <n v="1611.9"/>
    <n v="1908"/>
    <n v="216"/>
    <n v="7"/>
    <s v="No"/>
    <n v="6517"/>
    <x v="0"/>
    <n v="354618"/>
    <n v="72358"/>
    <d v="2025-04-09T00:00:00"/>
    <x v="8"/>
  </r>
  <r>
    <s v="ORD00710"/>
    <d v="2025-09-27T00:00:00"/>
    <x v="2"/>
    <x v="1"/>
    <x v="2"/>
    <x v="10"/>
    <x v="2"/>
    <x v="2"/>
    <n v="357"/>
    <n v="681"/>
    <n v="869.47"/>
    <n v="58"/>
    <n v="280"/>
    <n v="4"/>
    <s v="Yes"/>
    <n v="2733"/>
    <x v="1"/>
    <n v="310400.78999999998"/>
    <n v="67283.789999999994"/>
    <d v="2025-09-27T00:00:00"/>
    <x v="4"/>
  </r>
  <r>
    <s v="ORD00711"/>
    <d v="2025-11-12T00:00:00"/>
    <x v="2"/>
    <x v="1"/>
    <x v="1"/>
    <x v="3"/>
    <x v="3"/>
    <x v="1"/>
    <n v="229"/>
    <n v="4031"/>
    <n v="4828.5200000000004"/>
    <n v="1598"/>
    <n v="289"/>
    <n v="4"/>
    <s v="Yes"/>
    <n v="2243"/>
    <x v="1"/>
    <n v="1105731.08"/>
    <n v="182632.08"/>
    <d v="2025-11-12T00:00:00"/>
    <x v="0"/>
  </r>
  <r>
    <s v="ORD00712"/>
    <d v="2025-05-08T00:00:00"/>
    <x v="0"/>
    <x v="1"/>
    <x v="0"/>
    <x v="0"/>
    <x v="0"/>
    <x v="2"/>
    <n v="175"/>
    <n v="3813"/>
    <n v="5711.04"/>
    <n v="270"/>
    <n v="224"/>
    <n v="1"/>
    <s v="Yes"/>
    <n v="956"/>
    <x v="0"/>
    <n v="999432"/>
    <n v="332157"/>
    <d v="2025-05-08T00:00:00"/>
    <x v="2"/>
  </r>
  <r>
    <s v="ORD00713"/>
    <d v="2025-07-26T00:00:00"/>
    <x v="0"/>
    <x v="3"/>
    <x v="1"/>
    <x v="12"/>
    <x v="2"/>
    <x v="0"/>
    <n v="278"/>
    <n v="1700"/>
    <n v="2364.3200000000002"/>
    <n v="579"/>
    <n v="113"/>
    <n v="4"/>
    <s v="Yes"/>
    <n v="1884"/>
    <x v="1"/>
    <n v="657280.96"/>
    <n v="184680.95999999999"/>
    <d v="2025-07-26T00:00:00"/>
    <x v="9"/>
  </r>
  <r>
    <s v="ORD00714"/>
    <d v="2025-11-27T00:00:00"/>
    <x v="1"/>
    <x v="0"/>
    <x v="0"/>
    <x v="19"/>
    <x v="3"/>
    <x v="2"/>
    <n v="68"/>
    <n v="2620"/>
    <n v="3543.61"/>
    <n v="1358"/>
    <n v="290"/>
    <n v="9"/>
    <s v="No"/>
    <n v="346"/>
    <x v="1"/>
    <n v="240965.48"/>
    <n v="62805.48"/>
    <d v="2025-11-27T00:00:00"/>
    <x v="0"/>
  </r>
  <r>
    <s v="ORD00715"/>
    <d v="2025-04-03T00:00:00"/>
    <x v="1"/>
    <x v="3"/>
    <x v="1"/>
    <x v="1"/>
    <x v="2"/>
    <x v="1"/>
    <n v="15"/>
    <n v="269"/>
    <n v="326.68"/>
    <n v="948"/>
    <n v="182"/>
    <n v="6"/>
    <s v="No"/>
    <n v="3048"/>
    <x v="1"/>
    <n v="4900.2"/>
    <n v="865.2"/>
    <d v="2025-04-03T00:00:00"/>
    <x v="8"/>
  </r>
  <r>
    <s v="ORD00716"/>
    <d v="2025-09-14T00:00:00"/>
    <x v="1"/>
    <x v="2"/>
    <x v="2"/>
    <x v="13"/>
    <x v="2"/>
    <x v="2"/>
    <n v="165"/>
    <n v="4200"/>
    <n v="5053.13"/>
    <n v="532"/>
    <n v="111"/>
    <n v="7"/>
    <s v="No"/>
    <n v="700"/>
    <x v="0"/>
    <n v="833766.45"/>
    <n v="140766.45000000001"/>
    <d v="2025-09-14T00:00:00"/>
    <x v="4"/>
  </r>
  <r>
    <s v="ORD00717"/>
    <d v="2025-12-12T00:00:00"/>
    <x v="2"/>
    <x v="4"/>
    <x v="3"/>
    <x v="15"/>
    <x v="3"/>
    <x v="1"/>
    <n v="252"/>
    <n v="3553"/>
    <n v="4861"/>
    <n v="1349"/>
    <n v="166"/>
    <n v="6"/>
    <s v="No"/>
    <n v="5965"/>
    <x v="1"/>
    <n v="1224972"/>
    <n v="329616"/>
    <d v="2025-12-12T00:00:00"/>
    <x v="10"/>
  </r>
  <r>
    <s v="ORD00718"/>
    <d v="2025-07-07T00:00:00"/>
    <x v="3"/>
    <x v="1"/>
    <x v="0"/>
    <x v="4"/>
    <x v="2"/>
    <x v="0"/>
    <n v="214"/>
    <n v="2434"/>
    <n v="3152.05"/>
    <n v="529"/>
    <n v="169"/>
    <n v="5"/>
    <s v="Yes"/>
    <n v="1521"/>
    <x v="1"/>
    <n v="674538.7"/>
    <n v="153662.70000000001"/>
    <d v="2025-07-07T00:00:00"/>
    <x v="9"/>
  </r>
  <r>
    <s v="ORD00719"/>
    <d v="2025-06-24T00:00:00"/>
    <x v="2"/>
    <x v="2"/>
    <x v="0"/>
    <x v="0"/>
    <x v="0"/>
    <x v="0"/>
    <n v="385"/>
    <n v="1404"/>
    <n v="1994.05"/>
    <n v="189"/>
    <n v="120"/>
    <n v="4"/>
    <s v="Yes"/>
    <n v="3348"/>
    <x v="1"/>
    <n v="767709.25"/>
    <n v="227169.25"/>
    <d v="2025-06-24T00:00:00"/>
    <x v="7"/>
  </r>
  <r>
    <s v="ORD00720"/>
    <d v="2025-10-21T00:00:00"/>
    <x v="0"/>
    <x v="2"/>
    <x v="0"/>
    <x v="0"/>
    <x v="3"/>
    <x v="2"/>
    <n v="477"/>
    <n v="3297"/>
    <n v="4067.13"/>
    <n v="1404"/>
    <n v="218"/>
    <n v="7"/>
    <s v="No"/>
    <n v="5445"/>
    <x v="2"/>
    <n v="1940021.01"/>
    <n v="367352.01"/>
    <d v="2025-10-21T00:00:00"/>
    <x v="11"/>
  </r>
  <r>
    <s v="ORD00721"/>
    <d v="2025-03-12T00:00:00"/>
    <x v="2"/>
    <x v="2"/>
    <x v="0"/>
    <x v="2"/>
    <x v="1"/>
    <x v="2"/>
    <n v="424"/>
    <n v="1175"/>
    <n v="1545.59"/>
    <n v="1871"/>
    <n v="283"/>
    <n v="1"/>
    <s v="Yes"/>
    <n v="2949"/>
    <x v="1"/>
    <n v="655330.16"/>
    <n v="157130.16"/>
    <d v="2025-03-12T00:00:00"/>
    <x v="3"/>
  </r>
  <r>
    <s v="ORD00722"/>
    <d v="2025-07-23T00:00:00"/>
    <x v="1"/>
    <x v="2"/>
    <x v="3"/>
    <x v="6"/>
    <x v="0"/>
    <x v="0"/>
    <n v="479"/>
    <n v="3786"/>
    <n v="5120.3"/>
    <n v="1094"/>
    <n v="111"/>
    <n v="1"/>
    <s v="Yes"/>
    <n v="2432"/>
    <x v="1"/>
    <n v="2452623.7000000002"/>
    <n v="639129.69999999995"/>
    <d v="2025-07-23T00:00:00"/>
    <x v="9"/>
  </r>
  <r>
    <s v="ORD00723"/>
    <d v="2025-05-11T00:00:00"/>
    <x v="0"/>
    <x v="1"/>
    <x v="1"/>
    <x v="1"/>
    <x v="3"/>
    <x v="2"/>
    <n v="153"/>
    <n v="3213"/>
    <n v="4312.62"/>
    <n v="1049"/>
    <n v="124"/>
    <n v="2"/>
    <s v="Yes"/>
    <n v="673"/>
    <x v="1"/>
    <n v="659830.86"/>
    <n v="168241.86"/>
    <d v="2025-05-11T00:00:00"/>
    <x v="2"/>
  </r>
  <r>
    <s v="ORD00724"/>
    <d v="2025-05-20T00:00:00"/>
    <x v="2"/>
    <x v="1"/>
    <x v="1"/>
    <x v="12"/>
    <x v="0"/>
    <x v="0"/>
    <n v="386"/>
    <n v="3950"/>
    <n v="5165.92"/>
    <n v="1275"/>
    <n v="224"/>
    <n v="9"/>
    <s v="No"/>
    <n v="6580"/>
    <x v="2"/>
    <n v="1994045.12"/>
    <n v="469345.12"/>
    <d v="2025-05-20T00:00:00"/>
    <x v="2"/>
  </r>
  <r>
    <s v="ORD00725"/>
    <d v="2025-11-14T00:00:00"/>
    <x v="0"/>
    <x v="4"/>
    <x v="2"/>
    <x v="5"/>
    <x v="2"/>
    <x v="0"/>
    <n v="366"/>
    <n v="2448"/>
    <n v="2834.93"/>
    <n v="1111"/>
    <n v="131"/>
    <n v="8"/>
    <s v="No"/>
    <n v="1397"/>
    <x v="0"/>
    <n v="1037584.38"/>
    <n v="141616.38"/>
    <d v="2025-11-14T00:00:00"/>
    <x v="0"/>
  </r>
  <r>
    <s v="ORD00726"/>
    <d v="2025-06-13T00:00:00"/>
    <x v="3"/>
    <x v="3"/>
    <x v="2"/>
    <x v="10"/>
    <x v="3"/>
    <x v="0"/>
    <n v="86"/>
    <n v="4748"/>
    <n v="6454.09"/>
    <n v="1338"/>
    <n v="291"/>
    <n v="10"/>
    <s v="No"/>
    <n v="7703"/>
    <x v="1"/>
    <n v="555051.74"/>
    <n v="146723.74"/>
    <d v="2025-06-13T00:00:00"/>
    <x v="7"/>
  </r>
  <r>
    <s v="ORD00727"/>
    <d v="2025-11-24T00:00:00"/>
    <x v="0"/>
    <x v="3"/>
    <x v="0"/>
    <x v="8"/>
    <x v="2"/>
    <x v="1"/>
    <n v="16"/>
    <n v="835"/>
    <n v="1229.24"/>
    <n v="1184"/>
    <n v="170"/>
    <n v="8"/>
    <s v="No"/>
    <n v="6002"/>
    <x v="0"/>
    <n v="19667.84"/>
    <n v="6307.84"/>
    <d v="2025-11-24T00:00:00"/>
    <x v="0"/>
  </r>
  <r>
    <s v="ORD00728"/>
    <d v="2025-05-14T00:00:00"/>
    <x v="2"/>
    <x v="0"/>
    <x v="3"/>
    <x v="14"/>
    <x v="2"/>
    <x v="2"/>
    <n v="231"/>
    <n v="1813"/>
    <n v="2310.71"/>
    <n v="538"/>
    <n v="139"/>
    <n v="5"/>
    <s v="Yes"/>
    <n v="6922"/>
    <x v="1"/>
    <n v="533774.01"/>
    <n v="114971.01"/>
    <d v="2025-05-14T00:00:00"/>
    <x v="2"/>
  </r>
  <r>
    <s v="ORD00729"/>
    <d v="2025-03-19T00:00:00"/>
    <x v="1"/>
    <x v="1"/>
    <x v="2"/>
    <x v="10"/>
    <x v="3"/>
    <x v="2"/>
    <n v="170"/>
    <n v="4478"/>
    <n v="6081.23"/>
    <n v="1844"/>
    <n v="263"/>
    <n v="9"/>
    <s v="No"/>
    <n v="1210"/>
    <x v="3"/>
    <n v="1033809.1"/>
    <n v="272549.09999999998"/>
    <d v="2025-03-19T00:00:00"/>
    <x v="3"/>
  </r>
  <r>
    <s v="ORD00730"/>
    <d v="2025-12-25T00:00:00"/>
    <x v="1"/>
    <x v="2"/>
    <x v="0"/>
    <x v="8"/>
    <x v="0"/>
    <x v="1"/>
    <n v="366"/>
    <n v="1533"/>
    <n v="1928.73"/>
    <n v="306"/>
    <n v="177"/>
    <n v="2"/>
    <s v="Yes"/>
    <n v="5221"/>
    <x v="1"/>
    <n v="705915.18"/>
    <n v="144837.18"/>
    <d v="2025-12-25T00:00:00"/>
    <x v="10"/>
  </r>
  <r>
    <s v="ORD00731"/>
    <d v="2025-03-19T00:00:00"/>
    <x v="3"/>
    <x v="1"/>
    <x v="1"/>
    <x v="12"/>
    <x v="1"/>
    <x v="0"/>
    <n v="329"/>
    <n v="4356"/>
    <n v="6415.46"/>
    <n v="1731"/>
    <n v="140"/>
    <n v="4"/>
    <s v="Yes"/>
    <n v="7932"/>
    <x v="1"/>
    <n v="2110686.34"/>
    <n v="677562.34"/>
    <d v="2025-03-19T00:00:00"/>
    <x v="3"/>
  </r>
  <r>
    <s v="ORD00732"/>
    <d v="2025-01-15T00:00:00"/>
    <x v="2"/>
    <x v="3"/>
    <x v="3"/>
    <x v="16"/>
    <x v="2"/>
    <x v="0"/>
    <n v="229"/>
    <n v="4886"/>
    <n v="6975.6"/>
    <n v="1180"/>
    <n v="231"/>
    <n v="10"/>
    <s v="No"/>
    <n v="4914"/>
    <x v="0"/>
    <n v="1597412.4"/>
    <n v="478518.4"/>
    <d v="2025-01-15T00:00:00"/>
    <x v="6"/>
  </r>
  <r>
    <s v="ORD00733"/>
    <d v="2025-01-26T00:00:00"/>
    <x v="2"/>
    <x v="1"/>
    <x v="2"/>
    <x v="18"/>
    <x v="0"/>
    <x v="0"/>
    <n v="172"/>
    <n v="508"/>
    <n v="647.1"/>
    <n v="1522"/>
    <n v="268"/>
    <n v="1"/>
    <s v="Yes"/>
    <n v="567"/>
    <x v="1"/>
    <n v="111301.2"/>
    <n v="23925.200000000001"/>
    <d v="2025-01-26T00:00:00"/>
    <x v="6"/>
  </r>
  <r>
    <s v="ORD00734"/>
    <d v="2025-10-30T00:00:00"/>
    <x v="1"/>
    <x v="0"/>
    <x v="2"/>
    <x v="10"/>
    <x v="0"/>
    <x v="2"/>
    <n v="471"/>
    <n v="2067"/>
    <n v="2963.85"/>
    <n v="957"/>
    <n v="89"/>
    <n v="9"/>
    <s v="No"/>
    <n v="3254"/>
    <x v="2"/>
    <n v="1395973.35"/>
    <n v="422416.35"/>
    <d v="2025-10-30T00:00:00"/>
    <x v="11"/>
  </r>
  <r>
    <s v="ORD00735"/>
    <d v="2025-11-05T00:00:00"/>
    <x v="2"/>
    <x v="0"/>
    <x v="3"/>
    <x v="14"/>
    <x v="3"/>
    <x v="2"/>
    <n v="429"/>
    <n v="3661"/>
    <n v="4870.71"/>
    <n v="1413"/>
    <n v="99"/>
    <n v="5"/>
    <s v="Yes"/>
    <n v="356"/>
    <x v="1"/>
    <n v="2089534.59"/>
    <n v="518965.59"/>
    <d v="2025-11-05T00:00:00"/>
    <x v="0"/>
  </r>
  <r>
    <s v="ORD00736"/>
    <d v="2025-10-31T00:00:00"/>
    <x v="0"/>
    <x v="3"/>
    <x v="1"/>
    <x v="11"/>
    <x v="2"/>
    <x v="2"/>
    <n v="171"/>
    <n v="237"/>
    <n v="312.06"/>
    <n v="1142"/>
    <n v="101"/>
    <n v="1"/>
    <s v="Yes"/>
    <n v="3836"/>
    <x v="0"/>
    <n v="53362.26"/>
    <n v="12835.26"/>
    <d v="2025-10-31T00:00:00"/>
    <x v="11"/>
  </r>
  <r>
    <s v="ORD00737"/>
    <d v="2025-12-03T00:00:00"/>
    <x v="1"/>
    <x v="0"/>
    <x v="3"/>
    <x v="6"/>
    <x v="3"/>
    <x v="2"/>
    <n v="237"/>
    <n v="119"/>
    <n v="170.12"/>
    <n v="1676"/>
    <n v="289"/>
    <n v="5"/>
    <s v="Yes"/>
    <n v="5229"/>
    <x v="1"/>
    <n v="40318.44"/>
    <n v="12115.44"/>
    <d v="2025-12-03T00:00:00"/>
    <x v="10"/>
  </r>
  <r>
    <s v="ORD00738"/>
    <d v="2025-07-01T00:00:00"/>
    <x v="0"/>
    <x v="2"/>
    <x v="3"/>
    <x v="15"/>
    <x v="1"/>
    <x v="2"/>
    <n v="487"/>
    <n v="3862"/>
    <n v="5278.69"/>
    <n v="937"/>
    <n v="137"/>
    <n v="6"/>
    <s v="No"/>
    <n v="2766"/>
    <x v="2"/>
    <n v="2570722.0299999998"/>
    <n v="689928.03"/>
    <d v="2025-07-01T00:00:00"/>
    <x v="9"/>
  </r>
  <r>
    <s v="ORD00739"/>
    <d v="2025-03-01T00:00:00"/>
    <x v="1"/>
    <x v="3"/>
    <x v="2"/>
    <x v="10"/>
    <x v="0"/>
    <x v="0"/>
    <n v="449"/>
    <n v="1955"/>
    <n v="2758.11"/>
    <n v="1472"/>
    <n v="113"/>
    <n v="1"/>
    <s v="Yes"/>
    <n v="1476"/>
    <x v="1"/>
    <n v="1238391.3899999999"/>
    <n v="360596.39"/>
    <d v="2025-03-01T00:00:00"/>
    <x v="3"/>
  </r>
  <r>
    <s v="ORD00740"/>
    <d v="2025-02-07T00:00:00"/>
    <x v="2"/>
    <x v="4"/>
    <x v="0"/>
    <x v="4"/>
    <x v="1"/>
    <x v="1"/>
    <n v="184"/>
    <n v="1378"/>
    <n v="1886.68"/>
    <n v="801"/>
    <n v="283"/>
    <n v="2"/>
    <s v="Yes"/>
    <n v="3039"/>
    <x v="1"/>
    <n v="347149.12"/>
    <n v="93597.119999999995"/>
    <d v="2025-02-07T00:00:00"/>
    <x v="5"/>
  </r>
  <r>
    <s v="ORD00741"/>
    <d v="2025-06-16T00:00:00"/>
    <x v="1"/>
    <x v="4"/>
    <x v="2"/>
    <x v="10"/>
    <x v="2"/>
    <x v="1"/>
    <n v="243"/>
    <n v="2453"/>
    <n v="3560.62"/>
    <n v="1244"/>
    <n v="300"/>
    <n v="2"/>
    <s v="Yes"/>
    <n v="3762"/>
    <x v="1"/>
    <n v="865230.66"/>
    <n v="269151.65999999997"/>
    <d v="2025-06-16T00:00:00"/>
    <x v="7"/>
  </r>
  <r>
    <s v="ORD00742"/>
    <d v="2025-07-30T00:00:00"/>
    <x v="3"/>
    <x v="2"/>
    <x v="1"/>
    <x v="11"/>
    <x v="1"/>
    <x v="1"/>
    <n v="387"/>
    <n v="1037"/>
    <n v="1197.33"/>
    <n v="442"/>
    <n v="179"/>
    <n v="1"/>
    <s v="Yes"/>
    <n v="3234"/>
    <x v="1"/>
    <n v="463366.71"/>
    <n v="62047.71"/>
    <d v="2025-07-30T00:00:00"/>
    <x v="9"/>
  </r>
  <r>
    <s v="ORD00743"/>
    <d v="2025-12-15T00:00:00"/>
    <x v="3"/>
    <x v="2"/>
    <x v="1"/>
    <x v="11"/>
    <x v="3"/>
    <x v="1"/>
    <n v="287"/>
    <n v="3093"/>
    <n v="4574.13"/>
    <n v="1355"/>
    <n v="236"/>
    <n v="6"/>
    <s v="No"/>
    <n v="2504"/>
    <x v="2"/>
    <n v="1312775.31"/>
    <n v="425084.31"/>
    <d v="2025-12-15T00:00:00"/>
    <x v="10"/>
  </r>
  <r>
    <s v="ORD00744"/>
    <d v="2025-05-23T00:00:00"/>
    <x v="2"/>
    <x v="2"/>
    <x v="1"/>
    <x v="1"/>
    <x v="1"/>
    <x v="1"/>
    <n v="13"/>
    <n v="1348"/>
    <n v="2002.32"/>
    <n v="494"/>
    <n v="291"/>
    <n v="4"/>
    <s v="Yes"/>
    <n v="3825"/>
    <x v="1"/>
    <n v="26030.16"/>
    <n v="8506.16"/>
    <d v="2025-05-23T00:00:00"/>
    <x v="2"/>
  </r>
  <r>
    <s v="ORD00745"/>
    <d v="2025-03-25T00:00:00"/>
    <x v="2"/>
    <x v="2"/>
    <x v="1"/>
    <x v="3"/>
    <x v="3"/>
    <x v="2"/>
    <n v="379"/>
    <n v="1546"/>
    <n v="2220.2800000000002"/>
    <n v="1476"/>
    <n v="294"/>
    <n v="6"/>
    <s v="No"/>
    <n v="1450"/>
    <x v="0"/>
    <n v="841486.12"/>
    <n v="255552.12"/>
    <d v="2025-03-25T00:00:00"/>
    <x v="3"/>
  </r>
  <r>
    <s v="ORD00746"/>
    <d v="2025-09-27T00:00:00"/>
    <x v="2"/>
    <x v="4"/>
    <x v="0"/>
    <x v="19"/>
    <x v="0"/>
    <x v="1"/>
    <n v="158"/>
    <n v="2393"/>
    <n v="3380.08"/>
    <n v="1890"/>
    <n v="106"/>
    <n v="5"/>
    <s v="Yes"/>
    <n v="7439"/>
    <x v="1"/>
    <n v="534052.64"/>
    <n v="155958.64000000001"/>
    <d v="2025-09-27T00:00:00"/>
    <x v="4"/>
  </r>
  <r>
    <s v="ORD00747"/>
    <d v="2025-12-03T00:00:00"/>
    <x v="3"/>
    <x v="0"/>
    <x v="1"/>
    <x v="7"/>
    <x v="0"/>
    <x v="1"/>
    <n v="85"/>
    <n v="800"/>
    <n v="966.74"/>
    <n v="643"/>
    <n v="211"/>
    <n v="2"/>
    <s v="Yes"/>
    <n v="748"/>
    <x v="1"/>
    <n v="82172.899999999994"/>
    <n v="14172.9"/>
    <d v="2025-12-03T00:00:00"/>
    <x v="10"/>
  </r>
  <r>
    <s v="ORD00748"/>
    <d v="2025-10-06T00:00:00"/>
    <x v="1"/>
    <x v="1"/>
    <x v="3"/>
    <x v="6"/>
    <x v="0"/>
    <x v="0"/>
    <n v="99"/>
    <n v="211"/>
    <n v="276.22000000000003"/>
    <n v="385"/>
    <n v="139"/>
    <n v="6"/>
    <s v="No"/>
    <n v="5578"/>
    <x v="2"/>
    <n v="27345.78"/>
    <n v="6456.78"/>
    <d v="2025-10-06T00:00:00"/>
    <x v="11"/>
  </r>
  <r>
    <s v="ORD00749"/>
    <d v="2025-12-21T00:00:00"/>
    <x v="3"/>
    <x v="3"/>
    <x v="0"/>
    <x v="0"/>
    <x v="1"/>
    <x v="0"/>
    <n v="422"/>
    <n v="4130"/>
    <n v="4772.04"/>
    <n v="1312"/>
    <n v="109"/>
    <n v="5"/>
    <s v="Yes"/>
    <n v="6215"/>
    <x v="1"/>
    <n v="2013800.88"/>
    <n v="270940.88"/>
    <d v="2025-12-21T00:00:00"/>
    <x v="10"/>
  </r>
  <r>
    <s v="ORD00750"/>
    <d v="2025-05-09T00:00:00"/>
    <x v="3"/>
    <x v="2"/>
    <x v="1"/>
    <x v="1"/>
    <x v="3"/>
    <x v="1"/>
    <n v="236"/>
    <n v="406"/>
    <n v="528.80999999999995"/>
    <n v="1462"/>
    <n v="244"/>
    <n v="1"/>
    <s v="Yes"/>
    <n v="4041"/>
    <x v="1"/>
    <n v="124799.16"/>
    <n v="28983.16"/>
    <d v="2025-05-09T00:00:00"/>
    <x v="2"/>
  </r>
  <r>
    <s v="ORD00751"/>
    <d v="2025-02-06T00:00:00"/>
    <x v="3"/>
    <x v="0"/>
    <x v="0"/>
    <x v="0"/>
    <x v="2"/>
    <x v="2"/>
    <n v="104"/>
    <n v="3112"/>
    <n v="3735.93"/>
    <n v="602"/>
    <n v="139"/>
    <n v="7"/>
    <s v="No"/>
    <n v="1422"/>
    <x v="1"/>
    <n v="388536.72"/>
    <n v="64888.72"/>
    <d v="2025-02-06T00:00:00"/>
    <x v="5"/>
  </r>
  <r>
    <s v="ORD00752"/>
    <d v="2025-12-31T00:00:00"/>
    <x v="1"/>
    <x v="2"/>
    <x v="3"/>
    <x v="15"/>
    <x v="0"/>
    <x v="2"/>
    <n v="320"/>
    <n v="3400"/>
    <n v="4615.79"/>
    <n v="246"/>
    <n v="203"/>
    <n v="3"/>
    <s v="No"/>
    <n v="5262"/>
    <x v="3"/>
    <n v="1477052.8"/>
    <n v="389052.8"/>
    <d v="2025-12-31T00:00:00"/>
    <x v="10"/>
  </r>
  <r>
    <s v="ORD00753"/>
    <d v="2025-05-01T00:00:00"/>
    <x v="3"/>
    <x v="3"/>
    <x v="3"/>
    <x v="15"/>
    <x v="0"/>
    <x v="2"/>
    <n v="230"/>
    <n v="4587"/>
    <n v="6089.31"/>
    <n v="259"/>
    <n v="92"/>
    <n v="5"/>
    <s v="Yes"/>
    <n v="6844"/>
    <x v="1"/>
    <n v="1400541.3"/>
    <n v="345531.3"/>
    <d v="2025-05-01T00:00:00"/>
    <x v="2"/>
  </r>
  <r>
    <s v="ORD00754"/>
    <d v="2025-12-24T00:00:00"/>
    <x v="2"/>
    <x v="2"/>
    <x v="0"/>
    <x v="4"/>
    <x v="3"/>
    <x v="1"/>
    <n v="371"/>
    <n v="2556"/>
    <n v="3636"/>
    <n v="1170"/>
    <n v="92"/>
    <n v="2"/>
    <s v="Yes"/>
    <n v="4999"/>
    <x v="1"/>
    <n v="1348956"/>
    <n v="400680"/>
    <d v="2025-12-24T00:00:00"/>
    <x v="10"/>
  </r>
  <r>
    <s v="ORD00755"/>
    <d v="2025-01-06T00:00:00"/>
    <x v="1"/>
    <x v="3"/>
    <x v="0"/>
    <x v="4"/>
    <x v="3"/>
    <x v="0"/>
    <n v="49"/>
    <n v="2741"/>
    <n v="3981.22"/>
    <n v="393"/>
    <n v="90"/>
    <n v="4"/>
    <s v="Yes"/>
    <n v="4210"/>
    <x v="1"/>
    <n v="195079.78"/>
    <n v="60770.78"/>
    <d v="2025-01-06T00:00:00"/>
    <x v="6"/>
  </r>
  <r>
    <s v="ORD00756"/>
    <d v="2025-12-05T00:00:00"/>
    <x v="0"/>
    <x v="1"/>
    <x v="0"/>
    <x v="19"/>
    <x v="2"/>
    <x v="1"/>
    <n v="442"/>
    <n v="1009"/>
    <n v="1338.95"/>
    <n v="1179"/>
    <n v="185"/>
    <n v="7"/>
    <s v="No"/>
    <n v="6466"/>
    <x v="0"/>
    <n v="591815.9"/>
    <n v="145837.9"/>
    <d v="2025-12-05T00:00:00"/>
    <x v="10"/>
  </r>
  <r>
    <s v="ORD00757"/>
    <d v="2025-04-15T00:00:00"/>
    <x v="2"/>
    <x v="1"/>
    <x v="2"/>
    <x v="10"/>
    <x v="2"/>
    <x v="2"/>
    <n v="396"/>
    <n v="2233"/>
    <n v="3006.83"/>
    <n v="1651"/>
    <n v="162"/>
    <n v="8"/>
    <s v="No"/>
    <n v="4121"/>
    <x v="1"/>
    <n v="1190704.68"/>
    <n v="306436.68"/>
    <d v="2025-04-15T00:00:00"/>
    <x v="8"/>
  </r>
  <r>
    <s v="ORD00758"/>
    <d v="2025-09-03T00:00:00"/>
    <x v="3"/>
    <x v="2"/>
    <x v="1"/>
    <x v="7"/>
    <x v="2"/>
    <x v="0"/>
    <n v="108"/>
    <n v="572"/>
    <n v="716.74"/>
    <n v="353"/>
    <n v="275"/>
    <n v="6"/>
    <s v="No"/>
    <n v="7613"/>
    <x v="2"/>
    <n v="77407.92"/>
    <n v="15631.92"/>
    <d v="2025-09-03T00:00:00"/>
    <x v="4"/>
  </r>
  <r>
    <s v="ORD00759"/>
    <d v="2025-08-19T00:00:00"/>
    <x v="2"/>
    <x v="4"/>
    <x v="3"/>
    <x v="6"/>
    <x v="1"/>
    <x v="1"/>
    <n v="212"/>
    <n v="2882"/>
    <n v="3383.39"/>
    <n v="1043"/>
    <n v="252"/>
    <n v="3"/>
    <s v="Yes"/>
    <n v="5281"/>
    <x v="1"/>
    <n v="717278.68"/>
    <n v="106294.68"/>
    <d v="2025-08-19T00:00:00"/>
    <x v="1"/>
  </r>
  <r>
    <s v="ORD00760"/>
    <d v="2025-12-31T00:00:00"/>
    <x v="2"/>
    <x v="3"/>
    <x v="3"/>
    <x v="15"/>
    <x v="3"/>
    <x v="1"/>
    <n v="410"/>
    <n v="3480"/>
    <n v="5013.82"/>
    <n v="445"/>
    <n v="279"/>
    <n v="6"/>
    <s v="No"/>
    <n v="1371"/>
    <x v="0"/>
    <n v="2055666.2"/>
    <n v="628866.19999999995"/>
    <d v="2025-12-31T00:00:00"/>
    <x v="10"/>
  </r>
  <r>
    <s v="ORD00761"/>
    <d v="2025-06-09T00:00:00"/>
    <x v="1"/>
    <x v="2"/>
    <x v="0"/>
    <x v="2"/>
    <x v="2"/>
    <x v="0"/>
    <n v="211"/>
    <n v="2269"/>
    <n v="3396.05"/>
    <n v="512"/>
    <n v="206"/>
    <n v="4"/>
    <s v="Yes"/>
    <n v="2489"/>
    <x v="1"/>
    <n v="716566.55"/>
    <n v="237807.55"/>
    <d v="2025-06-09T00:00:00"/>
    <x v="7"/>
  </r>
  <r>
    <s v="ORD00762"/>
    <d v="2025-06-24T00:00:00"/>
    <x v="2"/>
    <x v="2"/>
    <x v="0"/>
    <x v="2"/>
    <x v="3"/>
    <x v="1"/>
    <n v="54"/>
    <n v="457"/>
    <n v="530.59"/>
    <n v="160"/>
    <n v="143"/>
    <n v="8"/>
    <s v="No"/>
    <n v="949"/>
    <x v="2"/>
    <n v="28651.86"/>
    <n v="3973.86"/>
    <d v="2025-06-24T00:00:00"/>
    <x v="7"/>
  </r>
  <r>
    <s v="ORD00763"/>
    <d v="2025-12-23T00:00:00"/>
    <x v="2"/>
    <x v="1"/>
    <x v="0"/>
    <x v="0"/>
    <x v="1"/>
    <x v="2"/>
    <n v="34"/>
    <n v="1570"/>
    <n v="2206.84"/>
    <n v="1284"/>
    <n v="243"/>
    <n v="6"/>
    <s v="No"/>
    <n v="4716"/>
    <x v="1"/>
    <n v="75032.56"/>
    <n v="21652.560000000001"/>
    <d v="2025-12-23T00:00:00"/>
    <x v="10"/>
  </r>
  <r>
    <s v="ORD00764"/>
    <d v="2025-06-02T00:00:00"/>
    <x v="3"/>
    <x v="2"/>
    <x v="0"/>
    <x v="19"/>
    <x v="2"/>
    <x v="0"/>
    <n v="127"/>
    <n v="923"/>
    <n v="1152.49"/>
    <n v="1444"/>
    <n v="171"/>
    <n v="3"/>
    <s v="Yes"/>
    <n v="4371"/>
    <x v="1"/>
    <n v="146366.23000000001"/>
    <n v="29145.23"/>
    <d v="2025-06-02T00:00:00"/>
    <x v="7"/>
  </r>
  <r>
    <s v="ORD00765"/>
    <d v="2025-08-30T00:00:00"/>
    <x v="1"/>
    <x v="2"/>
    <x v="2"/>
    <x v="17"/>
    <x v="3"/>
    <x v="1"/>
    <n v="33"/>
    <n v="3594"/>
    <n v="4782.74"/>
    <n v="1867"/>
    <n v="89"/>
    <n v="4"/>
    <s v="Yes"/>
    <n v="659"/>
    <x v="0"/>
    <n v="157830.42000000001"/>
    <n v="39228.42"/>
    <d v="2025-08-30T00:00:00"/>
    <x v="1"/>
  </r>
  <r>
    <s v="ORD00766"/>
    <d v="2025-12-17T00:00:00"/>
    <x v="3"/>
    <x v="0"/>
    <x v="3"/>
    <x v="9"/>
    <x v="3"/>
    <x v="0"/>
    <n v="61"/>
    <n v="4875"/>
    <n v="5758.34"/>
    <n v="192"/>
    <n v="245"/>
    <n v="4"/>
    <s v="Yes"/>
    <n v="400"/>
    <x v="1"/>
    <n v="351258.74"/>
    <n v="53883.74"/>
    <d v="2025-12-17T00:00:00"/>
    <x v="10"/>
  </r>
  <r>
    <s v="ORD00767"/>
    <d v="2025-05-17T00:00:00"/>
    <x v="3"/>
    <x v="0"/>
    <x v="1"/>
    <x v="1"/>
    <x v="3"/>
    <x v="2"/>
    <n v="30"/>
    <n v="2588"/>
    <n v="3144.93"/>
    <n v="1867"/>
    <n v="296"/>
    <n v="10"/>
    <s v="No"/>
    <n v="4231"/>
    <x v="1"/>
    <n v="94347.9"/>
    <n v="16707.900000000001"/>
    <d v="2025-05-17T00:00:00"/>
    <x v="2"/>
  </r>
  <r>
    <s v="ORD00768"/>
    <d v="2025-02-09T00:00:00"/>
    <x v="3"/>
    <x v="0"/>
    <x v="1"/>
    <x v="3"/>
    <x v="0"/>
    <x v="1"/>
    <n v="408"/>
    <n v="3352"/>
    <n v="4916.92"/>
    <n v="107"/>
    <n v="290"/>
    <n v="7"/>
    <s v="No"/>
    <n v="429"/>
    <x v="0"/>
    <n v="2006103.36"/>
    <n v="638487.36"/>
    <d v="2025-02-09T00:00:00"/>
    <x v="5"/>
  </r>
  <r>
    <s v="ORD00769"/>
    <d v="2025-06-26T00:00:00"/>
    <x v="1"/>
    <x v="3"/>
    <x v="3"/>
    <x v="6"/>
    <x v="0"/>
    <x v="0"/>
    <n v="166"/>
    <n v="4277"/>
    <n v="5130.1000000000004"/>
    <n v="1791"/>
    <n v="228"/>
    <n v="6"/>
    <s v="No"/>
    <n v="6280"/>
    <x v="0"/>
    <n v="851596.6"/>
    <n v="141614.6"/>
    <d v="2025-06-26T00:00:00"/>
    <x v="7"/>
  </r>
  <r>
    <s v="ORD00770"/>
    <d v="2025-10-20T00:00:00"/>
    <x v="2"/>
    <x v="4"/>
    <x v="2"/>
    <x v="13"/>
    <x v="0"/>
    <x v="2"/>
    <n v="140"/>
    <n v="4145"/>
    <n v="5291.98"/>
    <n v="1901"/>
    <n v="175"/>
    <n v="6"/>
    <s v="No"/>
    <n v="5012"/>
    <x v="2"/>
    <n v="740877.2"/>
    <n v="160577.20000000001"/>
    <d v="2025-10-20T00:00:00"/>
    <x v="11"/>
  </r>
  <r>
    <s v="ORD00771"/>
    <d v="2025-08-27T00:00:00"/>
    <x v="0"/>
    <x v="0"/>
    <x v="1"/>
    <x v="12"/>
    <x v="3"/>
    <x v="2"/>
    <n v="399"/>
    <n v="4131"/>
    <n v="5835.54"/>
    <n v="243"/>
    <n v="170"/>
    <n v="8"/>
    <s v="No"/>
    <n v="345"/>
    <x v="2"/>
    <n v="2328380.46"/>
    <n v="680111.46"/>
    <d v="2025-08-27T00:00:00"/>
    <x v="1"/>
  </r>
  <r>
    <s v="ORD00772"/>
    <d v="2025-11-13T00:00:00"/>
    <x v="1"/>
    <x v="4"/>
    <x v="0"/>
    <x v="8"/>
    <x v="3"/>
    <x v="0"/>
    <n v="239"/>
    <n v="4491"/>
    <n v="6525.17"/>
    <n v="1035"/>
    <n v="215"/>
    <n v="2"/>
    <s v="No"/>
    <n v="1635"/>
    <x v="2"/>
    <n v="1559515.63"/>
    <n v="486166.63"/>
    <d v="2025-11-13T00:00:00"/>
    <x v="0"/>
  </r>
  <r>
    <s v="ORD00773"/>
    <d v="2025-08-20T00:00:00"/>
    <x v="3"/>
    <x v="0"/>
    <x v="1"/>
    <x v="3"/>
    <x v="1"/>
    <x v="0"/>
    <n v="380"/>
    <n v="3890"/>
    <n v="4813.6899999999996"/>
    <n v="1731"/>
    <n v="124"/>
    <n v="10"/>
    <s v="No"/>
    <n v="2786"/>
    <x v="0"/>
    <n v="1829202.2"/>
    <n v="351002.2"/>
    <d v="2025-08-20T00:00:00"/>
    <x v="1"/>
  </r>
  <r>
    <s v="ORD00774"/>
    <d v="2025-03-07T00:00:00"/>
    <x v="3"/>
    <x v="0"/>
    <x v="3"/>
    <x v="14"/>
    <x v="2"/>
    <x v="1"/>
    <n v="67"/>
    <n v="2731"/>
    <n v="3883.38"/>
    <n v="666"/>
    <n v="233"/>
    <n v="1"/>
    <s v="Yes"/>
    <n v="407"/>
    <x v="1"/>
    <n v="260186.46"/>
    <n v="77209.460000000006"/>
    <d v="2025-03-07T00:00:00"/>
    <x v="3"/>
  </r>
  <r>
    <s v="ORD00775"/>
    <d v="2025-08-29T00:00:00"/>
    <x v="1"/>
    <x v="2"/>
    <x v="0"/>
    <x v="19"/>
    <x v="2"/>
    <x v="2"/>
    <n v="428"/>
    <n v="2340"/>
    <n v="3181.39"/>
    <n v="1339"/>
    <n v="110"/>
    <n v="8"/>
    <s v="No"/>
    <n v="6124"/>
    <x v="2"/>
    <n v="1361634.92"/>
    <n v="360114.92"/>
    <d v="2025-08-29T00:00:00"/>
    <x v="1"/>
  </r>
  <r>
    <s v="ORD00776"/>
    <d v="2025-12-29T00:00:00"/>
    <x v="2"/>
    <x v="0"/>
    <x v="2"/>
    <x v="5"/>
    <x v="0"/>
    <x v="1"/>
    <n v="21"/>
    <n v="4010"/>
    <n v="5188.1000000000004"/>
    <n v="1802"/>
    <n v="271"/>
    <n v="6"/>
    <s v="No"/>
    <n v="2076"/>
    <x v="0"/>
    <n v="108950.1"/>
    <n v="24740.1"/>
    <d v="2025-12-29T00:00:00"/>
    <x v="10"/>
  </r>
  <r>
    <s v="ORD00777"/>
    <d v="2025-01-13T00:00:00"/>
    <x v="0"/>
    <x v="3"/>
    <x v="1"/>
    <x v="12"/>
    <x v="1"/>
    <x v="0"/>
    <n v="207"/>
    <n v="4482"/>
    <n v="5794.79"/>
    <n v="780"/>
    <n v="89"/>
    <n v="2"/>
    <s v="Yes"/>
    <n v="7001"/>
    <x v="1"/>
    <n v="1199521.53"/>
    <n v="271747.53000000003"/>
    <d v="2025-01-13T00:00:00"/>
    <x v="6"/>
  </r>
  <r>
    <s v="ORD00778"/>
    <d v="2025-09-12T00:00:00"/>
    <x v="0"/>
    <x v="3"/>
    <x v="3"/>
    <x v="9"/>
    <x v="2"/>
    <x v="2"/>
    <n v="499"/>
    <n v="1715"/>
    <n v="2189.16"/>
    <n v="1006"/>
    <n v="236"/>
    <n v="4"/>
    <s v="Yes"/>
    <n v="6501"/>
    <x v="1"/>
    <n v="1092390.8400000001"/>
    <n v="236605.84"/>
    <d v="2025-09-12T00:00:00"/>
    <x v="4"/>
  </r>
  <r>
    <s v="ORD00779"/>
    <d v="2025-05-26T00:00:00"/>
    <x v="3"/>
    <x v="1"/>
    <x v="0"/>
    <x v="19"/>
    <x v="0"/>
    <x v="1"/>
    <n v="69"/>
    <n v="3959"/>
    <n v="5087.04"/>
    <n v="1938"/>
    <n v="182"/>
    <n v="6"/>
    <s v="No"/>
    <n v="1934"/>
    <x v="0"/>
    <n v="351005.76"/>
    <n v="77834.759999999995"/>
    <d v="2025-05-26T00:00:00"/>
    <x v="2"/>
  </r>
  <r>
    <s v="ORD00780"/>
    <d v="2025-02-23T00:00:00"/>
    <x v="0"/>
    <x v="1"/>
    <x v="3"/>
    <x v="9"/>
    <x v="0"/>
    <x v="0"/>
    <n v="434"/>
    <n v="4513"/>
    <n v="6005.51"/>
    <n v="619"/>
    <n v="93"/>
    <n v="1"/>
    <s v="Yes"/>
    <n v="4220"/>
    <x v="1"/>
    <n v="2606391.34"/>
    <n v="647749.34"/>
    <d v="2025-02-23T00:00:00"/>
    <x v="5"/>
  </r>
  <r>
    <s v="ORD00781"/>
    <d v="2025-04-10T00:00:00"/>
    <x v="3"/>
    <x v="1"/>
    <x v="2"/>
    <x v="17"/>
    <x v="3"/>
    <x v="2"/>
    <n v="210"/>
    <n v="4808"/>
    <n v="5904.28"/>
    <n v="1007"/>
    <n v="168"/>
    <n v="3"/>
    <s v="Yes"/>
    <n v="5757"/>
    <x v="1"/>
    <n v="1239898.8"/>
    <n v="230218.8"/>
    <d v="2025-04-10T00:00:00"/>
    <x v="8"/>
  </r>
  <r>
    <s v="ORD00782"/>
    <d v="2025-08-05T00:00:00"/>
    <x v="1"/>
    <x v="1"/>
    <x v="3"/>
    <x v="16"/>
    <x v="2"/>
    <x v="2"/>
    <n v="164"/>
    <n v="4758"/>
    <n v="6868.66"/>
    <n v="1246"/>
    <n v="228"/>
    <n v="7"/>
    <s v="No"/>
    <n v="2121"/>
    <x v="0"/>
    <n v="1126460.24"/>
    <n v="346148.24"/>
    <d v="2025-08-05T00:00:00"/>
    <x v="1"/>
  </r>
  <r>
    <s v="ORD00783"/>
    <d v="2025-04-29T00:00:00"/>
    <x v="1"/>
    <x v="4"/>
    <x v="3"/>
    <x v="16"/>
    <x v="2"/>
    <x v="1"/>
    <n v="247"/>
    <n v="637"/>
    <n v="754.57"/>
    <n v="1042"/>
    <n v="209"/>
    <n v="1"/>
    <s v="Yes"/>
    <n v="1351"/>
    <x v="1"/>
    <n v="186378.79"/>
    <n v="29039.79"/>
    <d v="2025-04-29T00:00:00"/>
    <x v="8"/>
  </r>
  <r>
    <s v="ORD00784"/>
    <d v="2025-07-09T00:00:00"/>
    <x v="2"/>
    <x v="4"/>
    <x v="1"/>
    <x v="1"/>
    <x v="0"/>
    <x v="0"/>
    <n v="78"/>
    <n v="4139"/>
    <n v="5407.2"/>
    <n v="1998"/>
    <n v="100"/>
    <n v="8"/>
    <s v="No"/>
    <n v="3131"/>
    <x v="3"/>
    <n v="421761.6"/>
    <n v="98919.6"/>
    <d v="2025-07-09T00:00:00"/>
    <x v="9"/>
  </r>
  <r>
    <s v="ORD00785"/>
    <d v="2025-08-11T00:00:00"/>
    <x v="2"/>
    <x v="0"/>
    <x v="0"/>
    <x v="8"/>
    <x v="2"/>
    <x v="2"/>
    <n v="144"/>
    <n v="610"/>
    <n v="727.01"/>
    <n v="309"/>
    <n v="169"/>
    <n v="6"/>
    <s v="No"/>
    <n v="2772"/>
    <x v="0"/>
    <n v="104689.44"/>
    <n v="16849.439999999999"/>
    <d v="2025-08-11T00:00:00"/>
    <x v="1"/>
  </r>
  <r>
    <s v="ORD00786"/>
    <d v="2025-08-26T00:00:00"/>
    <x v="1"/>
    <x v="1"/>
    <x v="0"/>
    <x v="19"/>
    <x v="1"/>
    <x v="1"/>
    <n v="90"/>
    <n v="1029"/>
    <n v="1419.37"/>
    <n v="1285"/>
    <n v="128"/>
    <n v="9"/>
    <s v="No"/>
    <n v="7137"/>
    <x v="1"/>
    <n v="127743.3"/>
    <n v="35133.300000000003"/>
    <d v="2025-08-26T00:00:00"/>
    <x v="1"/>
  </r>
  <r>
    <s v="ORD00787"/>
    <d v="2025-07-16T00:00:00"/>
    <x v="0"/>
    <x v="3"/>
    <x v="1"/>
    <x v="7"/>
    <x v="1"/>
    <x v="0"/>
    <n v="205"/>
    <n v="719"/>
    <n v="983.46"/>
    <n v="162"/>
    <n v="96"/>
    <n v="9"/>
    <s v="No"/>
    <n v="980"/>
    <x v="3"/>
    <n v="201609.3"/>
    <n v="54214.3"/>
    <d v="2025-07-16T00:00:00"/>
    <x v="9"/>
  </r>
  <r>
    <s v="ORD00788"/>
    <d v="2025-10-28T00:00:00"/>
    <x v="1"/>
    <x v="2"/>
    <x v="2"/>
    <x v="5"/>
    <x v="3"/>
    <x v="1"/>
    <n v="11"/>
    <n v="989"/>
    <n v="1204.31"/>
    <n v="1953"/>
    <n v="203"/>
    <n v="10"/>
    <s v="No"/>
    <n v="3964"/>
    <x v="1"/>
    <n v="13247.41"/>
    <n v="2368.41"/>
    <d v="2025-10-28T00:00:00"/>
    <x v="11"/>
  </r>
  <r>
    <s v="ORD00789"/>
    <d v="2025-06-07T00:00:00"/>
    <x v="2"/>
    <x v="2"/>
    <x v="0"/>
    <x v="0"/>
    <x v="3"/>
    <x v="0"/>
    <n v="482"/>
    <n v="3014"/>
    <n v="3783.4"/>
    <n v="113"/>
    <n v="264"/>
    <n v="4"/>
    <s v="No"/>
    <n v="1995"/>
    <x v="0"/>
    <n v="1823598.8"/>
    <n v="370850.8"/>
    <d v="2025-06-07T00:00:00"/>
    <x v="7"/>
  </r>
  <r>
    <s v="ORD00790"/>
    <d v="2025-09-18T00:00:00"/>
    <x v="3"/>
    <x v="2"/>
    <x v="3"/>
    <x v="15"/>
    <x v="0"/>
    <x v="2"/>
    <n v="433"/>
    <n v="2866"/>
    <n v="3546.9"/>
    <n v="1522"/>
    <n v="183"/>
    <n v="5"/>
    <s v="Yes"/>
    <n v="1100"/>
    <x v="0"/>
    <n v="1535807.7"/>
    <n v="294829.7"/>
    <d v="2025-09-18T00:00:00"/>
    <x v="4"/>
  </r>
  <r>
    <s v="ORD00791"/>
    <d v="2025-02-18T00:00:00"/>
    <x v="2"/>
    <x v="2"/>
    <x v="0"/>
    <x v="8"/>
    <x v="0"/>
    <x v="1"/>
    <n v="412"/>
    <n v="721"/>
    <n v="1056.29"/>
    <n v="334"/>
    <n v="294"/>
    <n v="3"/>
    <s v="Yes"/>
    <n v="1143"/>
    <x v="1"/>
    <n v="435191.48"/>
    <n v="138139.48000000001"/>
    <d v="2025-02-18T00:00:00"/>
    <x v="5"/>
  </r>
  <r>
    <s v="ORD00792"/>
    <d v="2025-11-03T00:00:00"/>
    <x v="2"/>
    <x v="3"/>
    <x v="0"/>
    <x v="2"/>
    <x v="2"/>
    <x v="2"/>
    <n v="152"/>
    <n v="1922"/>
    <n v="2710.63"/>
    <n v="572"/>
    <n v="286"/>
    <n v="2"/>
    <s v="Yes"/>
    <n v="1210"/>
    <x v="0"/>
    <n v="412015.76"/>
    <n v="119871.76"/>
    <d v="2025-11-03T00:00:00"/>
    <x v="0"/>
  </r>
  <r>
    <s v="ORD00793"/>
    <d v="2025-12-17T00:00:00"/>
    <x v="3"/>
    <x v="2"/>
    <x v="0"/>
    <x v="8"/>
    <x v="2"/>
    <x v="1"/>
    <n v="88"/>
    <n v="1356"/>
    <n v="1832.51"/>
    <n v="1080"/>
    <n v="229"/>
    <n v="10"/>
    <s v="No"/>
    <n v="2781"/>
    <x v="0"/>
    <n v="161260.88"/>
    <n v="41932.879999999997"/>
    <d v="2025-12-17T00:00:00"/>
    <x v="10"/>
  </r>
  <r>
    <s v="ORD00794"/>
    <d v="2025-04-30T00:00:00"/>
    <x v="1"/>
    <x v="1"/>
    <x v="0"/>
    <x v="0"/>
    <x v="2"/>
    <x v="1"/>
    <n v="117"/>
    <n v="867"/>
    <n v="1141.76"/>
    <n v="1983"/>
    <n v="282"/>
    <n v="3"/>
    <s v="No"/>
    <n v="1823"/>
    <x v="0"/>
    <n v="133585.92000000001"/>
    <n v="32146.92"/>
    <d v="2025-04-30T00:00:00"/>
    <x v="8"/>
  </r>
  <r>
    <s v="ORD00795"/>
    <d v="2025-05-26T00:00:00"/>
    <x v="2"/>
    <x v="4"/>
    <x v="1"/>
    <x v="3"/>
    <x v="3"/>
    <x v="2"/>
    <n v="44"/>
    <n v="481"/>
    <n v="705.72"/>
    <n v="351"/>
    <n v="283"/>
    <n v="7"/>
    <s v="No"/>
    <n v="5049"/>
    <x v="3"/>
    <n v="31051.68"/>
    <n v="9887.68"/>
    <d v="2025-05-26T00:00:00"/>
    <x v="2"/>
  </r>
  <r>
    <s v="ORD00796"/>
    <d v="2025-10-21T00:00:00"/>
    <x v="3"/>
    <x v="4"/>
    <x v="3"/>
    <x v="16"/>
    <x v="3"/>
    <x v="0"/>
    <n v="234"/>
    <n v="1432"/>
    <n v="1989.09"/>
    <n v="821"/>
    <n v="229"/>
    <n v="6"/>
    <s v="No"/>
    <n v="451"/>
    <x v="3"/>
    <n v="465447.06"/>
    <n v="130359.06"/>
    <d v="2025-10-21T00:00:00"/>
    <x v="11"/>
  </r>
  <r>
    <s v="ORD00797"/>
    <d v="2025-11-12T00:00:00"/>
    <x v="1"/>
    <x v="0"/>
    <x v="1"/>
    <x v="11"/>
    <x v="1"/>
    <x v="1"/>
    <n v="409"/>
    <n v="1515"/>
    <n v="1778.98"/>
    <n v="208"/>
    <n v="185"/>
    <n v="9"/>
    <s v="No"/>
    <n v="7447"/>
    <x v="0"/>
    <n v="727602.82"/>
    <n v="107967.82"/>
    <d v="2025-11-12T00:00:00"/>
    <x v="0"/>
  </r>
  <r>
    <s v="ORD00798"/>
    <d v="2025-03-10T00:00:00"/>
    <x v="1"/>
    <x v="0"/>
    <x v="1"/>
    <x v="1"/>
    <x v="1"/>
    <x v="1"/>
    <n v="320"/>
    <n v="2858"/>
    <n v="3734.86"/>
    <n v="763"/>
    <n v="159"/>
    <n v="5"/>
    <s v="Yes"/>
    <n v="6838"/>
    <x v="1"/>
    <n v="1195155.2"/>
    <n v="280595.20000000001"/>
    <d v="2025-03-10T00:00:00"/>
    <x v="3"/>
  </r>
  <r>
    <s v="ORD00799"/>
    <d v="2025-10-02T00:00:00"/>
    <x v="2"/>
    <x v="0"/>
    <x v="1"/>
    <x v="11"/>
    <x v="2"/>
    <x v="1"/>
    <n v="51"/>
    <n v="2480"/>
    <n v="3573.35"/>
    <n v="305"/>
    <n v="138"/>
    <n v="9"/>
    <s v="No"/>
    <n v="7647"/>
    <x v="1"/>
    <n v="182240.85"/>
    <n v="55760.85"/>
    <d v="2025-10-02T00:00:00"/>
    <x v="11"/>
  </r>
  <r>
    <s v="ORD00800"/>
    <d v="2025-08-04T00:00:00"/>
    <x v="0"/>
    <x v="4"/>
    <x v="1"/>
    <x v="1"/>
    <x v="2"/>
    <x v="2"/>
    <n v="40"/>
    <n v="4169"/>
    <n v="5889.23"/>
    <n v="1744"/>
    <n v="225"/>
    <n v="3"/>
    <s v="Yes"/>
    <n v="5432"/>
    <x v="1"/>
    <n v="235569.2"/>
    <n v="68809.2"/>
    <d v="2025-08-04T00:00:00"/>
    <x v="1"/>
  </r>
  <r>
    <s v="ORD00801"/>
    <d v="2025-08-04T00:00:00"/>
    <x v="0"/>
    <x v="2"/>
    <x v="0"/>
    <x v="4"/>
    <x v="2"/>
    <x v="1"/>
    <n v="265"/>
    <n v="1351"/>
    <n v="1930.58"/>
    <n v="1178"/>
    <n v="217"/>
    <n v="2"/>
    <s v="No"/>
    <n v="2516"/>
    <x v="0"/>
    <n v="511603.7"/>
    <n v="153588.70000000001"/>
    <d v="2025-08-04T00:00:00"/>
    <x v="1"/>
  </r>
  <r>
    <s v="ORD00802"/>
    <d v="2025-04-30T00:00:00"/>
    <x v="3"/>
    <x v="2"/>
    <x v="1"/>
    <x v="3"/>
    <x v="1"/>
    <x v="1"/>
    <n v="222"/>
    <n v="2362"/>
    <n v="3061.61"/>
    <n v="585"/>
    <n v="112"/>
    <n v="7"/>
    <s v="No"/>
    <n v="4101"/>
    <x v="0"/>
    <n v="679677.42"/>
    <n v="155313.42000000001"/>
    <d v="2025-04-30T00:00:00"/>
    <x v="8"/>
  </r>
  <r>
    <s v="ORD00803"/>
    <d v="2025-08-02T00:00:00"/>
    <x v="2"/>
    <x v="1"/>
    <x v="2"/>
    <x v="18"/>
    <x v="1"/>
    <x v="2"/>
    <n v="102"/>
    <n v="364"/>
    <n v="536.9"/>
    <n v="395"/>
    <n v="288"/>
    <n v="7"/>
    <s v="No"/>
    <n v="761"/>
    <x v="0"/>
    <n v="54763.8"/>
    <n v="17635.8"/>
    <d v="2025-08-02T00:00:00"/>
    <x v="1"/>
  </r>
  <r>
    <s v="ORD00804"/>
    <d v="2025-10-22T00:00:00"/>
    <x v="3"/>
    <x v="1"/>
    <x v="2"/>
    <x v="17"/>
    <x v="2"/>
    <x v="0"/>
    <n v="72"/>
    <n v="2323"/>
    <n v="2729.24"/>
    <n v="1310"/>
    <n v="127"/>
    <n v="6"/>
    <s v="No"/>
    <n v="6976"/>
    <x v="3"/>
    <n v="196505.28"/>
    <n v="29249.279999999999"/>
    <d v="2025-10-22T00:00:00"/>
    <x v="11"/>
  </r>
  <r>
    <s v="ORD00805"/>
    <d v="2025-07-19T00:00:00"/>
    <x v="0"/>
    <x v="1"/>
    <x v="2"/>
    <x v="17"/>
    <x v="3"/>
    <x v="0"/>
    <n v="154"/>
    <n v="3837"/>
    <n v="4618.17"/>
    <n v="1307"/>
    <n v="254"/>
    <n v="10"/>
    <s v="No"/>
    <n v="4162"/>
    <x v="0"/>
    <n v="711198.18"/>
    <n v="120300.18"/>
    <d v="2025-07-19T00:00:00"/>
    <x v="9"/>
  </r>
  <r>
    <s v="ORD00806"/>
    <d v="2025-01-27T00:00:00"/>
    <x v="0"/>
    <x v="0"/>
    <x v="0"/>
    <x v="4"/>
    <x v="0"/>
    <x v="1"/>
    <n v="148"/>
    <n v="3294"/>
    <n v="4639.1400000000003"/>
    <n v="518"/>
    <n v="133"/>
    <n v="6"/>
    <s v="No"/>
    <n v="4309"/>
    <x v="0"/>
    <n v="686592.72"/>
    <n v="199080.72"/>
    <d v="2025-01-27T00:00:00"/>
    <x v="6"/>
  </r>
  <r>
    <s v="ORD00807"/>
    <d v="2025-07-16T00:00:00"/>
    <x v="0"/>
    <x v="0"/>
    <x v="0"/>
    <x v="19"/>
    <x v="2"/>
    <x v="2"/>
    <n v="24"/>
    <n v="2135"/>
    <n v="3015.09"/>
    <n v="642"/>
    <n v="246"/>
    <n v="4"/>
    <s v="Yes"/>
    <n v="1083"/>
    <x v="1"/>
    <n v="72362.16"/>
    <n v="21122.16"/>
    <d v="2025-07-16T00:00:00"/>
    <x v="9"/>
  </r>
  <r>
    <s v="ORD00808"/>
    <d v="2025-10-27T00:00:00"/>
    <x v="2"/>
    <x v="1"/>
    <x v="0"/>
    <x v="19"/>
    <x v="3"/>
    <x v="2"/>
    <n v="213"/>
    <n v="4138"/>
    <n v="5260.27"/>
    <n v="1028"/>
    <n v="240"/>
    <n v="4"/>
    <s v="Yes"/>
    <n v="425"/>
    <x v="1"/>
    <n v="1120437.51"/>
    <n v="239043.51"/>
    <d v="2025-10-27T00:00:00"/>
    <x v="11"/>
  </r>
  <r>
    <s v="ORD00809"/>
    <d v="2025-03-06T00:00:00"/>
    <x v="3"/>
    <x v="1"/>
    <x v="0"/>
    <x v="8"/>
    <x v="3"/>
    <x v="2"/>
    <n v="190"/>
    <n v="820"/>
    <n v="1039.77"/>
    <n v="1911"/>
    <n v="241"/>
    <n v="4"/>
    <s v="Yes"/>
    <n v="7764"/>
    <x v="1"/>
    <n v="197556.3"/>
    <n v="41756.300000000003"/>
    <d v="2025-03-06T00:00:00"/>
    <x v="3"/>
  </r>
  <r>
    <s v="ORD00810"/>
    <d v="2025-12-18T00:00:00"/>
    <x v="3"/>
    <x v="1"/>
    <x v="1"/>
    <x v="11"/>
    <x v="0"/>
    <x v="1"/>
    <n v="443"/>
    <n v="1966"/>
    <n v="2270.1"/>
    <n v="840"/>
    <n v="209"/>
    <n v="10"/>
    <s v="No"/>
    <n v="7911"/>
    <x v="3"/>
    <n v="1005654.3"/>
    <n v="134716.29999999999"/>
    <d v="2025-12-18T00:00:00"/>
    <x v="10"/>
  </r>
  <r>
    <s v="ORD00811"/>
    <d v="2025-11-07T00:00:00"/>
    <x v="3"/>
    <x v="0"/>
    <x v="1"/>
    <x v="1"/>
    <x v="2"/>
    <x v="0"/>
    <n v="353"/>
    <n v="4403"/>
    <n v="6111.14"/>
    <n v="73"/>
    <n v="273"/>
    <n v="8"/>
    <s v="No"/>
    <n v="2873"/>
    <x v="1"/>
    <n v="2157232.42"/>
    <n v="602973.42000000004"/>
    <d v="2025-11-07T00:00:00"/>
    <x v="0"/>
  </r>
  <r>
    <s v="ORD00812"/>
    <d v="2025-03-15T00:00:00"/>
    <x v="2"/>
    <x v="4"/>
    <x v="2"/>
    <x v="13"/>
    <x v="2"/>
    <x v="0"/>
    <n v="175"/>
    <n v="3590"/>
    <n v="4803.22"/>
    <n v="1213"/>
    <n v="88"/>
    <n v="1"/>
    <s v="Yes"/>
    <n v="4369"/>
    <x v="1"/>
    <n v="840563.5"/>
    <n v="212313.5"/>
    <d v="2025-03-15T00:00:00"/>
    <x v="3"/>
  </r>
  <r>
    <s v="ORD00813"/>
    <d v="2025-04-17T00:00:00"/>
    <x v="0"/>
    <x v="1"/>
    <x v="0"/>
    <x v="19"/>
    <x v="0"/>
    <x v="1"/>
    <n v="297"/>
    <n v="3724"/>
    <n v="4339"/>
    <n v="836"/>
    <n v="250"/>
    <n v="4"/>
    <s v="Yes"/>
    <n v="1362"/>
    <x v="1"/>
    <n v="1288683"/>
    <n v="182655"/>
    <d v="2025-04-17T00:00:00"/>
    <x v="8"/>
  </r>
  <r>
    <s v="ORD00814"/>
    <d v="2025-02-19T00:00:00"/>
    <x v="1"/>
    <x v="2"/>
    <x v="3"/>
    <x v="9"/>
    <x v="2"/>
    <x v="0"/>
    <n v="171"/>
    <n v="1667"/>
    <n v="1970.32"/>
    <n v="1428"/>
    <n v="145"/>
    <n v="3"/>
    <s v="Yes"/>
    <n v="1687"/>
    <x v="1"/>
    <n v="336924.72"/>
    <n v="51867.72"/>
    <d v="2025-02-19T00:00:00"/>
    <x v="5"/>
  </r>
  <r>
    <s v="ORD00815"/>
    <d v="2025-09-09T00:00:00"/>
    <x v="3"/>
    <x v="4"/>
    <x v="3"/>
    <x v="9"/>
    <x v="2"/>
    <x v="2"/>
    <n v="32"/>
    <n v="3936"/>
    <n v="5821.83"/>
    <n v="236"/>
    <n v="254"/>
    <n v="3"/>
    <s v="Yes"/>
    <n v="5015"/>
    <x v="1"/>
    <n v="186298.56"/>
    <n v="60346.559999999998"/>
    <d v="2025-09-09T00:00:00"/>
    <x v="4"/>
  </r>
  <r>
    <s v="ORD00816"/>
    <d v="2025-09-04T00:00:00"/>
    <x v="2"/>
    <x v="3"/>
    <x v="3"/>
    <x v="9"/>
    <x v="0"/>
    <x v="2"/>
    <n v="23"/>
    <n v="3929"/>
    <n v="5069.04"/>
    <n v="1734"/>
    <n v="167"/>
    <n v="1"/>
    <s v="Yes"/>
    <n v="5060"/>
    <x v="1"/>
    <n v="116587.92"/>
    <n v="26220.92"/>
    <d v="2025-09-04T00:00:00"/>
    <x v="4"/>
  </r>
  <r>
    <s v="ORD00817"/>
    <d v="2025-09-14T00:00:00"/>
    <x v="1"/>
    <x v="2"/>
    <x v="3"/>
    <x v="16"/>
    <x v="2"/>
    <x v="2"/>
    <n v="178"/>
    <n v="2633"/>
    <n v="3217.91"/>
    <n v="1175"/>
    <n v="240"/>
    <n v="5"/>
    <s v="Yes"/>
    <n v="5462"/>
    <x v="1"/>
    <n v="572787.98"/>
    <n v="104113.98"/>
    <d v="2025-09-14T00:00:00"/>
    <x v="4"/>
  </r>
  <r>
    <s v="ORD00818"/>
    <d v="2025-11-05T00:00:00"/>
    <x v="3"/>
    <x v="0"/>
    <x v="1"/>
    <x v="7"/>
    <x v="0"/>
    <x v="2"/>
    <n v="342"/>
    <n v="4929"/>
    <n v="7262.22"/>
    <n v="1586"/>
    <n v="143"/>
    <n v="9"/>
    <s v="No"/>
    <n v="988"/>
    <x v="1"/>
    <n v="2483679.2400000002"/>
    <n v="797961.24"/>
    <d v="2025-11-05T00:00:00"/>
    <x v="0"/>
  </r>
  <r>
    <s v="ORD00819"/>
    <d v="2025-07-17T00:00:00"/>
    <x v="1"/>
    <x v="2"/>
    <x v="3"/>
    <x v="6"/>
    <x v="2"/>
    <x v="2"/>
    <n v="275"/>
    <n v="4233"/>
    <n v="5034.47"/>
    <n v="911"/>
    <n v="109"/>
    <n v="6"/>
    <s v="No"/>
    <n v="399"/>
    <x v="1"/>
    <n v="1384479.25"/>
    <n v="220404.25"/>
    <d v="2025-07-17T00:00:00"/>
    <x v="9"/>
  </r>
  <r>
    <s v="ORD00820"/>
    <d v="2025-10-19T00:00:00"/>
    <x v="3"/>
    <x v="1"/>
    <x v="2"/>
    <x v="17"/>
    <x v="0"/>
    <x v="2"/>
    <n v="429"/>
    <n v="2792"/>
    <n v="3660.84"/>
    <n v="1291"/>
    <n v="228"/>
    <n v="10"/>
    <s v="No"/>
    <n v="3535"/>
    <x v="2"/>
    <n v="1570500.36"/>
    <n v="372732.36"/>
    <d v="2025-10-19T00:00:00"/>
    <x v="11"/>
  </r>
  <r>
    <s v="ORD00821"/>
    <d v="2025-01-16T00:00:00"/>
    <x v="0"/>
    <x v="1"/>
    <x v="2"/>
    <x v="13"/>
    <x v="0"/>
    <x v="0"/>
    <n v="228"/>
    <n v="557"/>
    <n v="671"/>
    <n v="584"/>
    <n v="210"/>
    <n v="5"/>
    <s v="Yes"/>
    <n v="7926"/>
    <x v="1"/>
    <n v="152988"/>
    <n v="25992"/>
    <d v="2025-01-16T00:00:00"/>
    <x v="6"/>
  </r>
  <r>
    <s v="ORD00822"/>
    <d v="2025-12-06T00:00:00"/>
    <x v="3"/>
    <x v="4"/>
    <x v="2"/>
    <x v="17"/>
    <x v="3"/>
    <x v="1"/>
    <n v="19"/>
    <n v="2704"/>
    <n v="3791.59"/>
    <n v="971"/>
    <n v="258"/>
    <n v="4"/>
    <s v="Yes"/>
    <n v="1727"/>
    <x v="0"/>
    <n v="72040.210000000006"/>
    <n v="20664.21"/>
    <d v="2025-12-06T00:00:00"/>
    <x v="10"/>
  </r>
  <r>
    <s v="ORD00823"/>
    <d v="2025-04-10T00:00:00"/>
    <x v="0"/>
    <x v="2"/>
    <x v="3"/>
    <x v="15"/>
    <x v="3"/>
    <x v="2"/>
    <n v="369"/>
    <n v="1135"/>
    <n v="1356.29"/>
    <n v="986"/>
    <n v="162"/>
    <n v="3"/>
    <s v="Yes"/>
    <n v="4445"/>
    <x v="0"/>
    <n v="500471.01"/>
    <n v="81656.009999999995"/>
    <d v="2025-04-10T00:00:00"/>
    <x v="8"/>
  </r>
  <r>
    <s v="ORD00824"/>
    <d v="2025-08-31T00:00:00"/>
    <x v="1"/>
    <x v="1"/>
    <x v="2"/>
    <x v="17"/>
    <x v="0"/>
    <x v="2"/>
    <n v="235"/>
    <n v="1662"/>
    <n v="2106.06"/>
    <n v="1388"/>
    <n v="200"/>
    <n v="1"/>
    <s v="Yes"/>
    <n v="1528"/>
    <x v="1"/>
    <n v="494924.1"/>
    <n v="104354.1"/>
    <d v="2025-08-31T00:00:00"/>
    <x v="1"/>
  </r>
  <r>
    <s v="ORD00825"/>
    <d v="2025-12-09T00:00:00"/>
    <x v="3"/>
    <x v="2"/>
    <x v="3"/>
    <x v="6"/>
    <x v="2"/>
    <x v="2"/>
    <n v="285"/>
    <n v="1571"/>
    <n v="2175.5"/>
    <n v="807"/>
    <n v="225"/>
    <n v="8"/>
    <s v="No"/>
    <n v="3745"/>
    <x v="2"/>
    <n v="620017.5"/>
    <n v="172282.5"/>
    <d v="2025-12-09T00:00:00"/>
    <x v="10"/>
  </r>
  <r>
    <s v="ORD00826"/>
    <d v="2025-07-31T00:00:00"/>
    <x v="0"/>
    <x v="4"/>
    <x v="2"/>
    <x v="18"/>
    <x v="1"/>
    <x v="1"/>
    <n v="71"/>
    <n v="1804"/>
    <n v="2545.48"/>
    <n v="776"/>
    <n v="113"/>
    <n v="9"/>
    <s v="No"/>
    <n v="1372"/>
    <x v="2"/>
    <n v="180729.08"/>
    <n v="52645.08"/>
    <d v="2025-07-31T00:00:00"/>
    <x v="9"/>
  </r>
  <r>
    <s v="ORD00827"/>
    <d v="2025-08-01T00:00:00"/>
    <x v="2"/>
    <x v="4"/>
    <x v="0"/>
    <x v="8"/>
    <x v="1"/>
    <x v="0"/>
    <n v="415"/>
    <n v="2419"/>
    <n v="3109.28"/>
    <n v="1122"/>
    <n v="110"/>
    <n v="2"/>
    <s v="No"/>
    <n v="6840"/>
    <x v="1"/>
    <n v="1290351.2"/>
    <n v="286466.2"/>
    <d v="2025-08-01T00:00:00"/>
    <x v="1"/>
  </r>
  <r>
    <s v="ORD00828"/>
    <d v="2025-05-10T00:00:00"/>
    <x v="3"/>
    <x v="4"/>
    <x v="2"/>
    <x v="17"/>
    <x v="1"/>
    <x v="0"/>
    <n v="354"/>
    <n v="2951"/>
    <n v="4066.79"/>
    <n v="134"/>
    <n v="98"/>
    <n v="7"/>
    <s v="No"/>
    <n v="6384"/>
    <x v="2"/>
    <n v="1439643.66"/>
    <n v="394989.66"/>
    <d v="2025-05-10T00:00:00"/>
    <x v="2"/>
  </r>
  <r>
    <s v="ORD00829"/>
    <d v="2025-05-15T00:00:00"/>
    <x v="1"/>
    <x v="1"/>
    <x v="3"/>
    <x v="6"/>
    <x v="0"/>
    <x v="1"/>
    <n v="85"/>
    <n v="2187"/>
    <n v="3131.76"/>
    <n v="1811"/>
    <n v="297"/>
    <n v="4"/>
    <s v="Yes"/>
    <n v="4563"/>
    <x v="1"/>
    <n v="266199.59999999998"/>
    <n v="80304.600000000006"/>
    <d v="2025-05-15T00:00:00"/>
    <x v="2"/>
  </r>
  <r>
    <s v="ORD00830"/>
    <d v="2025-06-10T00:00:00"/>
    <x v="0"/>
    <x v="2"/>
    <x v="1"/>
    <x v="12"/>
    <x v="3"/>
    <x v="1"/>
    <n v="391"/>
    <n v="3166"/>
    <n v="3727.77"/>
    <n v="1732"/>
    <n v="86"/>
    <n v="5"/>
    <s v="Yes"/>
    <n v="4839"/>
    <x v="1"/>
    <n v="1457558.07"/>
    <n v="219652.07"/>
    <d v="2025-06-10T00:00:00"/>
    <x v="7"/>
  </r>
  <r>
    <s v="ORD00831"/>
    <d v="2025-03-04T00:00:00"/>
    <x v="2"/>
    <x v="1"/>
    <x v="2"/>
    <x v="5"/>
    <x v="1"/>
    <x v="0"/>
    <n v="271"/>
    <n v="342"/>
    <n v="398.63"/>
    <n v="1187"/>
    <n v="236"/>
    <n v="2"/>
    <s v="Yes"/>
    <n v="4224"/>
    <x v="1"/>
    <n v="108028.73"/>
    <n v="15346.73"/>
    <d v="2025-03-04T00:00:00"/>
    <x v="3"/>
  </r>
  <r>
    <s v="ORD00832"/>
    <d v="2025-12-08T00:00:00"/>
    <x v="3"/>
    <x v="0"/>
    <x v="0"/>
    <x v="8"/>
    <x v="1"/>
    <x v="0"/>
    <n v="57"/>
    <n v="4712"/>
    <n v="6886.74"/>
    <n v="267"/>
    <n v="151"/>
    <n v="2"/>
    <s v="No"/>
    <n v="6154"/>
    <x v="2"/>
    <n v="392544.18"/>
    <n v="123960.18"/>
    <d v="2025-12-08T00:00:00"/>
    <x v="10"/>
  </r>
  <r>
    <s v="ORD00833"/>
    <d v="2025-05-27T00:00:00"/>
    <x v="1"/>
    <x v="4"/>
    <x v="1"/>
    <x v="3"/>
    <x v="2"/>
    <x v="2"/>
    <n v="271"/>
    <n v="2782"/>
    <n v="3402.54"/>
    <n v="566"/>
    <n v="207"/>
    <n v="4"/>
    <s v="Yes"/>
    <n v="4769"/>
    <x v="1"/>
    <n v="922088.34"/>
    <n v="168166.34"/>
    <d v="2025-05-27T00:00:00"/>
    <x v="2"/>
  </r>
  <r>
    <s v="ORD00834"/>
    <d v="2025-11-09T00:00:00"/>
    <x v="3"/>
    <x v="0"/>
    <x v="0"/>
    <x v="2"/>
    <x v="2"/>
    <x v="1"/>
    <n v="148"/>
    <n v="3039"/>
    <n v="3652.93"/>
    <n v="459"/>
    <n v="130"/>
    <n v="8"/>
    <s v="No"/>
    <n v="2975"/>
    <x v="0"/>
    <n v="540633.64"/>
    <n v="90861.64"/>
    <d v="2025-11-09T00:00:00"/>
    <x v="0"/>
  </r>
  <r>
    <s v="ORD00835"/>
    <d v="2025-08-13T00:00:00"/>
    <x v="2"/>
    <x v="0"/>
    <x v="2"/>
    <x v="5"/>
    <x v="0"/>
    <x v="2"/>
    <n v="210"/>
    <n v="4172"/>
    <n v="5260.55"/>
    <n v="499"/>
    <n v="298"/>
    <n v="8"/>
    <s v="No"/>
    <n v="655"/>
    <x v="0"/>
    <n v="1104715.5"/>
    <n v="228595.5"/>
    <d v="2025-08-13T00:00:00"/>
    <x v="1"/>
  </r>
  <r>
    <s v="ORD00836"/>
    <d v="2025-07-02T00:00:00"/>
    <x v="1"/>
    <x v="2"/>
    <x v="1"/>
    <x v="7"/>
    <x v="1"/>
    <x v="0"/>
    <n v="346"/>
    <n v="3820"/>
    <n v="5369.72"/>
    <n v="1626"/>
    <n v="263"/>
    <n v="7"/>
    <s v="No"/>
    <n v="4782"/>
    <x v="3"/>
    <n v="1857923.12"/>
    <n v="536203.12"/>
    <d v="2025-07-02T00:00:00"/>
    <x v="9"/>
  </r>
  <r>
    <s v="ORD00837"/>
    <d v="2025-09-26T00:00:00"/>
    <x v="2"/>
    <x v="2"/>
    <x v="3"/>
    <x v="6"/>
    <x v="3"/>
    <x v="2"/>
    <n v="97"/>
    <n v="601"/>
    <n v="736.44"/>
    <n v="1433"/>
    <n v="88"/>
    <n v="4"/>
    <s v="Yes"/>
    <n v="5536"/>
    <x v="0"/>
    <n v="71434.679999999993"/>
    <n v="13137.68"/>
    <d v="2025-09-26T00:00:00"/>
    <x v="4"/>
  </r>
  <r>
    <s v="ORD00838"/>
    <d v="2025-07-25T00:00:00"/>
    <x v="1"/>
    <x v="0"/>
    <x v="1"/>
    <x v="7"/>
    <x v="1"/>
    <x v="1"/>
    <n v="43"/>
    <n v="4819"/>
    <n v="5842.03"/>
    <n v="804"/>
    <n v="183"/>
    <n v="10"/>
    <s v="No"/>
    <n v="2323"/>
    <x v="0"/>
    <n v="251207.29"/>
    <n v="43990.29"/>
    <d v="2025-07-25T00:00:00"/>
    <x v="9"/>
  </r>
  <r>
    <s v="ORD00839"/>
    <d v="2025-04-27T00:00:00"/>
    <x v="1"/>
    <x v="1"/>
    <x v="1"/>
    <x v="11"/>
    <x v="2"/>
    <x v="2"/>
    <n v="55"/>
    <n v="301"/>
    <n v="348.95"/>
    <n v="758"/>
    <n v="283"/>
    <n v="7"/>
    <s v="No"/>
    <n v="325"/>
    <x v="1"/>
    <n v="19192.25"/>
    <n v="2637.25"/>
    <d v="2025-04-27T00:00:00"/>
    <x v="8"/>
  </r>
  <r>
    <s v="ORD00840"/>
    <d v="2025-10-31T00:00:00"/>
    <x v="1"/>
    <x v="3"/>
    <x v="3"/>
    <x v="16"/>
    <x v="3"/>
    <x v="0"/>
    <n v="371"/>
    <n v="849"/>
    <n v="1224.43"/>
    <n v="1140"/>
    <n v="101"/>
    <n v="9"/>
    <s v="No"/>
    <n v="4359"/>
    <x v="3"/>
    <n v="454263.53"/>
    <n v="139284.53"/>
    <d v="2025-10-31T00:00:00"/>
    <x v="11"/>
  </r>
  <r>
    <s v="ORD00841"/>
    <d v="2025-05-23T00:00:00"/>
    <x v="1"/>
    <x v="0"/>
    <x v="0"/>
    <x v="4"/>
    <x v="2"/>
    <x v="1"/>
    <n v="223"/>
    <n v="436"/>
    <n v="615.99"/>
    <n v="156"/>
    <n v="142"/>
    <n v="3"/>
    <s v="Yes"/>
    <n v="5428"/>
    <x v="1"/>
    <n v="137365.76999999999"/>
    <n v="40137.769999999997"/>
    <d v="2025-05-23T00:00:00"/>
    <x v="2"/>
  </r>
  <r>
    <s v="ORD00842"/>
    <d v="2025-12-31T00:00:00"/>
    <x v="3"/>
    <x v="2"/>
    <x v="0"/>
    <x v="0"/>
    <x v="2"/>
    <x v="0"/>
    <n v="499"/>
    <n v="341"/>
    <n v="393.94"/>
    <n v="1739"/>
    <n v="288"/>
    <n v="6"/>
    <s v="No"/>
    <n v="6283"/>
    <x v="1"/>
    <n v="196576.06"/>
    <n v="26417.06"/>
    <d v="2025-12-31T00:00:00"/>
    <x v="10"/>
  </r>
  <r>
    <s v="ORD00843"/>
    <d v="2025-03-02T00:00:00"/>
    <x v="2"/>
    <x v="4"/>
    <x v="0"/>
    <x v="0"/>
    <x v="2"/>
    <x v="1"/>
    <n v="217"/>
    <n v="2494"/>
    <n v="3603.26"/>
    <n v="816"/>
    <n v="121"/>
    <n v="6"/>
    <s v="No"/>
    <n v="2536"/>
    <x v="2"/>
    <n v="781907.42"/>
    <n v="240709.42"/>
    <d v="2025-03-02T00:00:00"/>
    <x v="3"/>
  </r>
  <r>
    <s v="ORD00844"/>
    <d v="2025-11-04T00:00:00"/>
    <x v="2"/>
    <x v="3"/>
    <x v="2"/>
    <x v="10"/>
    <x v="2"/>
    <x v="2"/>
    <n v="364"/>
    <n v="4002"/>
    <n v="4866.55"/>
    <n v="1337"/>
    <n v="137"/>
    <n v="10"/>
    <s v="No"/>
    <n v="7918"/>
    <x v="1"/>
    <n v="1771424.2"/>
    <n v="314696.2"/>
    <d v="2025-11-04T00:00:00"/>
    <x v="0"/>
  </r>
  <r>
    <s v="ORD00845"/>
    <d v="2025-05-11T00:00:00"/>
    <x v="2"/>
    <x v="1"/>
    <x v="1"/>
    <x v="11"/>
    <x v="3"/>
    <x v="0"/>
    <n v="370"/>
    <n v="139"/>
    <n v="197.71"/>
    <n v="1637"/>
    <n v="200"/>
    <n v="8"/>
    <s v="No"/>
    <n v="3880"/>
    <x v="2"/>
    <n v="73152.7"/>
    <n v="21722.7"/>
    <d v="2025-05-11T00:00:00"/>
    <x v="2"/>
  </r>
  <r>
    <s v="ORD00846"/>
    <d v="2025-01-16T00:00:00"/>
    <x v="3"/>
    <x v="4"/>
    <x v="3"/>
    <x v="6"/>
    <x v="1"/>
    <x v="2"/>
    <n v="81"/>
    <n v="1252"/>
    <n v="1859.21"/>
    <n v="905"/>
    <n v="101"/>
    <n v="2"/>
    <s v="No"/>
    <n v="6789"/>
    <x v="3"/>
    <n v="150596.01"/>
    <n v="49184.01"/>
    <d v="2025-01-16T00:00:00"/>
    <x v="6"/>
  </r>
  <r>
    <s v="ORD00847"/>
    <d v="2025-07-11T00:00:00"/>
    <x v="0"/>
    <x v="2"/>
    <x v="2"/>
    <x v="10"/>
    <x v="2"/>
    <x v="0"/>
    <n v="50"/>
    <n v="2523"/>
    <n v="3635.03"/>
    <n v="574"/>
    <n v="271"/>
    <n v="1"/>
    <s v="Yes"/>
    <n v="1505"/>
    <x v="1"/>
    <n v="181751.5"/>
    <n v="55601.5"/>
    <d v="2025-07-11T00:00:00"/>
    <x v="9"/>
  </r>
  <r>
    <s v="ORD00848"/>
    <d v="2025-11-05T00:00:00"/>
    <x v="0"/>
    <x v="0"/>
    <x v="0"/>
    <x v="19"/>
    <x v="0"/>
    <x v="1"/>
    <n v="163"/>
    <n v="4927"/>
    <n v="7237.46"/>
    <n v="1709"/>
    <n v="128"/>
    <n v="10"/>
    <s v="No"/>
    <n v="1136"/>
    <x v="3"/>
    <n v="1179705.98"/>
    <n v="376604.98"/>
    <d v="2025-11-05T00:00:00"/>
    <x v="0"/>
  </r>
  <r>
    <s v="ORD00849"/>
    <d v="2025-02-11T00:00:00"/>
    <x v="3"/>
    <x v="3"/>
    <x v="2"/>
    <x v="17"/>
    <x v="3"/>
    <x v="2"/>
    <n v="242"/>
    <n v="511"/>
    <n v="759.58"/>
    <n v="1526"/>
    <n v="142"/>
    <n v="7"/>
    <s v="No"/>
    <n v="5042"/>
    <x v="0"/>
    <n v="183818.36"/>
    <n v="60156.36"/>
    <d v="2025-02-11T00:00:00"/>
    <x v="5"/>
  </r>
  <r>
    <s v="ORD00850"/>
    <d v="2025-12-05T00:00:00"/>
    <x v="1"/>
    <x v="1"/>
    <x v="1"/>
    <x v="11"/>
    <x v="1"/>
    <x v="0"/>
    <n v="468"/>
    <n v="2748"/>
    <n v="3927.45"/>
    <n v="1674"/>
    <n v="101"/>
    <n v="4"/>
    <s v="Yes"/>
    <n v="6964"/>
    <x v="1"/>
    <n v="1838046.6"/>
    <n v="551982.6"/>
    <d v="2025-12-05T00:00:00"/>
    <x v="10"/>
  </r>
  <r>
    <s v="ORD00851"/>
    <d v="2025-07-04T00:00:00"/>
    <x v="2"/>
    <x v="4"/>
    <x v="2"/>
    <x v="13"/>
    <x v="3"/>
    <x v="2"/>
    <n v="252"/>
    <n v="3396"/>
    <n v="4440.9399999999996"/>
    <n v="800"/>
    <n v="161"/>
    <n v="3"/>
    <s v="Yes"/>
    <n v="6698"/>
    <x v="1"/>
    <n v="1119116.8799999999"/>
    <n v="263324.88"/>
    <d v="2025-07-04T00:00:00"/>
    <x v="9"/>
  </r>
  <r>
    <s v="ORD00852"/>
    <d v="2025-06-07T00:00:00"/>
    <x v="0"/>
    <x v="1"/>
    <x v="3"/>
    <x v="6"/>
    <x v="1"/>
    <x v="1"/>
    <n v="354"/>
    <n v="841"/>
    <n v="1178.06"/>
    <n v="1431"/>
    <n v="262"/>
    <n v="3"/>
    <s v="Yes"/>
    <n v="5623"/>
    <x v="1"/>
    <n v="417033.24"/>
    <n v="119319.24"/>
    <d v="2025-06-07T00:00:00"/>
    <x v="7"/>
  </r>
  <r>
    <s v="ORD00853"/>
    <d v="2025-07-15T00:00:00"/>
    <x v="1"/>
    <x v="4"/>
    <x v="0"/>
    <x v="0"/>
    <x v="1"/>
    <x v="2"/>
    <n v="219"/>
    <n v="570"/>
    <n v="830.7"/>
    <n v="311"/>
    <n v="269"/>
    <n v="3"/>
    <s v="Yes"/>
    <n v="4609"/>
    <x v="1"/>
    <n v="181923.3"/>
    <n v="57093.3"/>
    <d v="2025-07-15T00:00:00"/>
    <x v="9"/>
  </r>
  <r>
    <s v="ORD00854"/>
    <d v="2025-07-07T00:00:00"/>
    <x v="2"/>
    <x v="4"/>
    <x v="3"/>
    <x v="14"/>
    <x v="1"/>
    <x v="0"/>
    <n v="122"/>
    <n v="2787"/>
    <n v="4164.8100000000004"/>
    <n v="1388"/>
    <n v="114"/>
    <n v="3"/>
    <s v="Yes"/>
    <n v="2635"/>
    <x v="1"/>
    <n v="508106.82"/>
    <n v="168092.82"/>
    <d v="2025-07-07T00:00:00"/>
    <x v="9"/>
  </r>
  <r>
    <s v="ORD00855"/>
    <d v="2025-04-24T00:00:00"/>
    <x v="1"/>
    <x v="2"/>
    <x v="3"/>
    <x v="6"/>
    <x v="3"/>
    <x v="2"/>
    <n v="447"/>
    <n v="1033"/>
    <n v="1295.1300000000001"/>
    <n v="161"/>
    <n v="169"/>
    <n v="2"/>
    <s v="Yes"/>
    <n v="1758"/>
    <x v="1"/>
    <n v="578923.11"/>
    <n v="117172.11"/>
    <d v="2025-04-24T00:00:00"/>
    <x v="8"/>
  </r>
  <r>
    <s v="ORD00856"/>
    <d v="2025-01-03T00:00:00"/>
    <x v="1"/>
    <x v="3"/>
    <x v="0"/>
    <x v="0"/>
    <x v="2"/>
    <x v="1"/>
    <n v="381"/>
    <n v="2716"/>
    <n v="3369.87"/>
    <n v="580"/>
    <n v="96"/>
    <n v="8"/>
    <s v="No"/>
    <n v="6545"/>
    <x v="2"/>
    <n v="1283920.47"/>
    <n v="249124.47"/>
    <d v="2025-01-03T00:00:00"/>
    <x v="6"/>
  </r>
  <r>
    <s v="ORD00857"/>
    <d v="2025-07-08T00:00:00"/>
    <x v="0"/>
    <x v="0"/>
    <x v="0"/>
    <x v="19"/>
    <x v="0"/>
    <x v="0"/>
    <n v="211"/>
    <n v="1950"/>
    <n v="2903.49"/>
    <n v="1579"/>
    <n v="255"/>
    <n v="7"/>
    <s v="No"/>
    <n v="6850"/>
    <x v="2"/>
    <n v="612636.39"/>
    <n v="201186.39"/>
    <d v="2025-07-08T00:00:00"/>
    <x v="9"/>
  </r>
  <r>
    <s v="ORD00858"/>
    <d v="2025-09-05T00:00:00"/>
    <x v="2"/>
    <x v="3"/>
    <x v="3"/>
    <x v="6"/>
    <x v="3"/>
    <x v="1"/>
    <n v="482"/>
    <n v="1451"/>
    <n v="1826.45"/>
    <n v="1578"/>
    <n v="142"/>
    <n v="9"/>
    <s v="No"/>
    <n v="5968"/>
    <x v="0"/>
    <n v="880348.9"/>
    <n v="180966.9"/>
    <d v="2025-09-05T00:00:00"/>
    <x v="4"/>
  </r>
  <r>
    <s v="ORD00859"/>
    <d v="2025-07-03T00:00:00"/>
    <x v="3"/>
    <x v="0"/>
    <x v="1"/>
    <x v="7"/>
    <x v="2"/>
    <x v="2"/>
    <n v="284"/>
    <n v="4184"/>
    <n v="5574.38"/>
    <n v="1531"/>
    <n v="221"/>
    <n v="1"/>
    <s v="Yes"/>
    <n v="1286"/>
    <x v="0"/>
    <n v="1583123.92"/>
    <n v="394867.92"/>
    <d v="2025-07-03T00:00:00"/>
    <x v="9"/>
  </r>
  <r>
    <s v="ORD00860"/>
    <d v="2025-11-02T00:00:00"/>
    <x v="0"/>
    <x v="0"/>
    <x v="1"/>
    <x v="3"/>
    <x v="1"/>
    <x v="2"/>
    <n v="392"/>
    <n v="2364"/>
    <n v="3391.59"/>
    <n v="673"/>
    <n v="135"/>
    <n v="7"/>
    <s v="No"/>
    <n v="1624"/>
    <x v="2"/>
    <n v="1329503.28"/>
    <n v="402815.28"/>
    <d v="2025-11-02T00:00:00"/>
    <x v="0"/>
  </r>
  <r>
    <s v="ORD00861"/>
    <d v="2025-09-30T00:00:00"/>
    <x v="2"/>
    <x v="3"/>
    <x v="0"/>
    <x v="2"/>
    <x v="1"/>
    <x v="2"/>
    <n v="470"/>
    <n v="1817"/>
    <n v="2552.5700000000002"/>
    <n v="1968"/>
    <n v="105"/>
    <n v="3"/>
    <s v="Yes"/>
    <n v="7884"/>
    <x v="1"/>
    <n v="1199707.8999999999"/>
    <n v="345717.9"/>
    <d v="2025-09-30T00:00:00"/>
    <x v="4"/>
  </r>
  <r>
    <s v="ORD00862"/>
    <d v="2025-05-03T00:00:00"/>
    <x v="2"/>
    <x v="4"/>
    <x v="3"/>
    <x v="14"/>
    <x v="3"/>
    <x v="0"/>
    <n v="472"/>
    <n v="4275"/>
    <n v="5819.83"/>
    <n v="1337"/>
    <n v="177"/>
    <n v="8"/>
    <s v="No"/>
    <n v="7018"/>
    <x v="1"/>
    <n v="2746959.76"/>
    <n v="729159.76"/>
    <d v="2025-05-03T00:00:00"/>
    <x v="2"/>
  </r>
  <r>
    <s v="ORD00863"/>
    <d v="2025-10-11T00:00:00"/>
    <x v="2"/>
    <x v="4"/>
    <x v="3"/>
    <x v="9"/>
    <x v="3"/>
    <x v="0"/>
    <n v="11"/>
    <n v="3159"/>
    <n v="3953.58"/>
    <n v="1694"/>
    <n v="208"/>
    <n v="8"/>
    <s v="No"/>
    <n v="1816"/>
    <x v="2"/>
    <n v="43489.38"/>
    <n v="8740.3799999999992"/>
    <d v="2025-10-11T00:00:00"/>
    <x v="11"/>
  </r>
  <r>
    <s v="ORD00864"/>
    <d v="2025-03-10T00:00:00"/>
    <x v="0"/>
    <x v="1"/>
    <x v="2"/>
    <x v="18"/>
    <x v="3"/>
    <x v="2"/>
    <n v="310"/>
    <n v="1389"/>
    <n v="2079.44"/>
    <n v="1747"/>
    <n v="209"/>
    <n v="10"/>
    <s v="No"/>
    <n v="7134"/>
    <x v="1"/>
    <n v="644626.4"/>
    <n v="214036.4"/>
    <d v="2025-03-10T00:00:00"/>
    <x v="3"/>
  </r>
  <r>
    <s v="ORD00865"/>
    <d v="2025-05-21T00:00:00"/>
    <x v="1"/>
    <x v="1"/>
    <x v="1"/>
    <x v="7"/>
    <x v="3"/>
    <x v="1"/>
    <n v="91"/>
    <n v="1525"/>
    <n v="2234.88"/>
    <n v="879"/>
    <n v="189"/>
    <n v="10"/>
    <s v="No"/>
    <n v="6241"/>
    <x v="2"/>
    <n v="203374.07999999999"/>
    <n v="64599.08"/>
    <d v="2025-05-21T00:00:00"/>
    <x v="2"/>
  </r>
  <r>
    <s v="ORD00866"/>
    <d v="2025-02-15T00:00:00"/>
    <x v="3"/>
    <x v="3"/>
    <x v="0"/>
    <x v="8"/>
    <x v="1"/>
    <x v="0"/>
    <n v="477"/>
    <n v="3112"/>
    <n v="3827.78"/>
    <n v="1165"/>
    <n v="241"/>
    <n v="8"/>
    <s v="No"/>
    <n v="7516"/>
    <x v="2"/>
    <n v="1825851.06"/>
    <n v="341427.06"/>
    <d v="2025-02-15T00:00:00"/>
    <x v="5"/>
  </r>
  <r>
    <s v="ORD00867"/>
    <d v="2025-07-30T00:00:00"/>
    <x v="1"/>
    <x v="4"/>
    <x v="0"/>
    <x v="0"/>
    <x v="2"/>
    <x v="2"/>
    <n v="173"/>
    <n v="717"/>
    <n v="1047.48"/>
    <n v="1436"/>
    <n v="198"/>
    <n v="6"/>
    <s v="No"/>
    <n v="7853"/>
    <x v="0"/>
    <n v="181214.04"/>
    <n v="57173.04"/>
    <d v="2025-07-30T00:00:00"/>
    <x v="9"/>
  </r>
  <r>
    <s v="ORD00868"/>
    <d v="2025-01-21T00:00:00"/>
    <x v="3"/>
    <x v="2"/>
    <x v="3"/>
    <x v="6"/>
    <x v="3"/>
    <x v="0"/>
    <n v="212"/>
    <n v="744"/>
    <n v="946.2"/>
    <n v="1927"/>
    <n v="202"/>
    <n v="8"/>
    <s v="No"/>
    <n v="7762"/>
    <x v="1"/>
    <n v="200594.4"/>
    <n v="42866.400000000001"/>
    <d v="2025-01-21T00:00:00"/>
    <x v="6"/>
  </r>
  <r>
    <s v="ORD00869"/>
    <d v="2025-04-10T00:00:00"/>
    <x v="3"/>
    <x v="2"/>
    <x v="2"/>
    <x v="13"/>
    <x v="0"/>
    <x v="1"/>
    <n v="499"/>
    <n v="2893"/>
    <n v="3512.35"/>
    <n v="549"/>
    <n v="108"/>
    <n v="8"/>
    <s v="No"/>
    <n v="7735"/>
    <x v="2"/>
    <n v="1752662.65"/>
    <n v="309055.65000000002"/>
    <d v="2025-04-10T00:00:00"/>
    <x v="8"/>
  </r>
  <r>
    <s v="ORD00870"/>
    <d v="2025-04-09T00:00:00"/>
    <x v="3"/>
    <x v="4"/>
    <x v="1"/>
    <x v="1"/>
    <x v="1"/>
    <x v="1"/>
    <n v="128"/>
    <n v="1197"/>
    <n v="1428.48"/>
    <n v="1921"/>
    <n v="110"/>
    <n v="5"/>
    <s v="Yes"/>
    <n v="5518"/>
    <x v="1"/>
    <n v="182845.44"/>
    <n v="29629.439999999999"/>
    <d v="2025-04-09T00:00:00"/>
    <x v="8"/>
  </r>
  <r>
    <s v="ORD00871"/>
    <d v="2025-03-11T00:00:00"/>
    <x v="1"/>
    <x v="1"/>
    <x v="0"/>
    <x v="2"/>
    <x v="2"/>
    <x v="0"/>
    <n v="212"/>
    <n v="3460"/>
    <n v="5105.28"/>
    <n v="1636"/>
    <n v="211"/>
    <n v="1"/>
    <s v="Yes"/>
    <n v="4671"/>
    <x v="1"/>
    <n v="1082319.3600000001"/>
    <n v="348799.36"/>
    <d v="2025-03-11T00:00:00"/>
    <x v="3"/>
  </r>
  <r>
    <s v="ORD00872"/>
    <d v="2025-11-18T00:00:00"/>
    <x v="2"/>
    <x v="0"/>
    <x v="1"/>
    <x v="7"/>
    <x v="2"/>
    <x v="1"/>
    <n v="325"/>
    <n v="2404"/>
    <n v="2908.94"/>
    <n v="1882"/>
    <n v="163"/>
    <n v="2"/>
    <s v="Yes"/>
    <n v="4658"/>
    <x v="1"/>
    <n v="945405.5"/>
    <n v="164105.5"/>
    <d v="2025-11-18T00:00:00"/>
    <x v="0"/>
  </r>
  <r>
    <s v="ORD00873"/>
    <d v="2025-04-08T00:00:00"/>
    <x v="1"/>
    <x v="0"/>
    <x v="3"/>
    <x v="16"/>
    <x v="1"/>
    <x v="1"/>
    <n v="459"/>
    <n v="3751"/>
    <n v="5406.72"/>
    <n v="1393"/>
    <n v="140"/>
    <n v="5"/>
    <s v="Yes"/>
    <n v="4903"/>
    <x v="1"/>
    <n v="2481684.48"/>
    <n v="759975.48"/>
    <d v="2025-04-08T00:00:00"/>
    <x v="8"/>
  </r>
  <r>
    <s v="ORD00874"/>
    <d v="2025-05-10T00:00:00"/>
    <x v="0"/>
    <x v="1"/>
    <x v="3"/>
    <x v="6"/>
    <x v="2"/>
    <x v="0"/>
    <n v="201"/>
    <n v="977"/>
    <n v="1276.6400000000001"/>
    <n v="1923"/>
    <n v="124"/>
    <n v="7"/>
    <s v="No"/>
    <n v="3478"/>
    <x v="0"/>
    <n v="256604.64"/>
    <n v="60227.64"/>
    <d v="2025-05-10T00:00:00"/>
    <x v="2"/>
  </r>
  <r>
    <s v="ORD00875"/>
    <d v="2025-01-24T00:00:00"/>
    <x v="2"/>
    <x v="4"/>
    <x v="2"/>
    <x v="17"/>
    <x v="2"/>
    <x v="0"/>
    <n v="202"/>
    <n v="4308"/>
    <n v="5428.51"/>
    <n v="742"/>
    <n v="139"/>
    <n v="7"/>
    <s v="No"/>
    <n v="3906"/>
    <x v="3"/>
    <n v="1096559.02"/>
    <n v="226343.02"/>
    <d v="2025-01-24T00:00:00"/>
    <x v="6"/>
  </r>
  <r>
    <s v="ORD00876"/>
    <d v="2025-06-16T00:00:00"/>
    <x v="3"/>
    <x v="4"/>
    <x v="3"/>
    <x v="9"/>
    <x v="3"/>
    <x v="2"/>
    <n v="74"/>
    <n v="1010"/>
    <n v="1421.13"/>
    <n v="1589"/>
    <n v="293"/>
    <n v="7"/>
    <s v="No"/>
    <n v="704"/>
    <x v="1"/>
    <n v="105163.62"/>
    <n v="30423.62"/>
    <d v="2025-06-16T00:00:00"/>
    <x v="7"/>
  </r>
  <r>
    <s v="ORD00877"/>
    <d v="2025-01-27T00:00:00"/>
    <x v="0"/>
    <x v="4"/>
    <x v="0"/>
    <x v="8"/>
    <x v="1"/>
    <x v="2"/>
    <n v="326"/>
    <n v="3679"/>
    <n v="4860.8100000000004"/>
    <n v="1127"/>
    <n v="195"/>
    <n v="6"/>
    <s v="No"/>
    <n v="4890"/>
    <x v="2"/>
    <n v="1584624.06"/>
    <n v="385270.06"/>
    <d v="2025-01-27T00:00:00"/>
    <x v="6"/>
  </r>
  <r>
    <s v="ORD00878"/>
    <d v="2025-01-02T00:00:00"/>
    <x v="0"/>
    <x v="3"/>
    <x v="3"/>
    <x v="16"/>
    <x v="3"/>
    <x v="0"/>
    <n v="71"/>
    <n v="4920"/>
    <n v="5851.81"/>
    <n v="1835"/>
    <n v="108"/>
    <n v="6"/>
    <s v="No"/>
    <n v="2218"/>
    <x v="2"/>
    <n v="415478.51"/>
    <n v="66158.509999999995"/>
    <d v="2025-01-02T00:00:00"/>
    <x v="6"/>
  </r>
  <r>
    <s v="ORD00879"/>
    <d v="2025-06-29T00:00:00"/>
    <x v="0"/>
    <x v="0"/>
    <x v="0"/>
    <x v="19"/>
    <x v="2"/>
    <x v="1"/>
    <n v="310"/>
    <n v="1244"/>
    <n v="1489.3"/>
    <n v="818"/>
    <n v="205"/>
    <n v="4"/>
    <s v="Yes"/>
    <n v="6861"/>
    <x v="1"/>
    <n v="461683"/>
    <n v="76043"/>
    <d v="2025-06-29T00:00:00"/>
    <x v="7"/>
  </r>
  <r>
    <s v="ORD00880"/>
    <d v="2025-10-23T00:00:00"/>
    <x v="1"/>
    <x v="0"/>
    <x v="0"/>
    <x v="4"/>
    <x v="2"/>
    <x v="0"/>
    <n v="256"/>
    <n v="3018"/>
    <n v="4211.1099999999997"/>
    <n v="994"/>
    <n v="259"/>
    <n v="2"/>
    <s v="Yes"/>
    <n v="7212"/>
    <x v="1"/>
    <n v="1078044.1599999999"/>
    <n v="305436.15999999997"/>
    <d v="2025-10-23T00:00:00"/>
    <x v="11"/>
  </r>
  <r>
    <s v="ORD00881"/>
    <d v="2025-10-13T00:00:00"/>
    <x v="1"/>
    <x v="0"/>
    <x v="1"/>
    <x v="1"/>
    <x v="1"/>
    <x v="2"/>
    <n v="289"/>
    <n v="4655"/>
    <n v="6050.26"/>
    <n v="1788"/>
    <n v="212"/>
    <n v="6"/>
    <s v="No"/>
    <n v="5441"/>
    <x v="1"/>
    <n v="1748525.14"/>
    <n v="403230.14"/>
    <d v="2025-10-13T00:00:00"/>
    <x v="11"/>
  </r>
  <r>
    <s v="ORD00882"/>
    <d v="2025-12-10T00:00:00"/>
    <x v="1"/>
    <x v="2"/>
    <x v="2"/>
    <x v="13"/>
    <x v="3"/>
    <x v="2"/>
    <n v="61"/>
    <n v="1685"/>
    <n v="2011.98"/>
    <n v="634"/>
    <n v="286"/>
    <n v="9"/>
    <s v="No"/>
    <n v="7182"/>
    <x v="2"/>
    <n v="122730.78"/>
    <n v="19945.78"/>
    <d v="2025-12-10T00:00:00"/>
    <x v="10"/>
  </r>
  <r>
    <s v="ORD00883"/>
    <d v="2025-05-17T00:00:00"/>
    <x v="3"/>
    <x v="2"/>
    <x v="2"/>
    <x v="13"/>
    <x v="0"/>
    <x v="2"/>
    <n v="470"/>
    <n v="2318"/>
    <n v="3266.45"/>
    <n v="779"/>
    <n v="141"/>
    <n v="4"/>
    <s v="No"/>
    <n v="2341"/>
    <x v="0"/>
    <n v="1535231.5"/>
    <n v="445771.5"/>
    <d v="2025-05-17T00:00:00"/>
    <x v="2"/>
  </r>
  <r>
    <s v="ORD00884"/>
    <d v="2025-05-05T00:00:00"/>
    <x v="2"/>
    <x v="4"/>
    <x v="2"/>
    <x v="10"/>
    <x v="1"/>
    <x v="2"/>
    <n v="472"/>
    <n v="3402"/>
    <n v="4897.6000000000004"/>
    <n v="1229"/>
    <n v="118"/>
    <n v="9"/>
    <s v="No"/>
    <n v="6403"/>
    <x v="3"/>
    <n v="2311667.2000000002"/>
    <n v="705923.2"/>
    <d v="2025-05-05T00:00:00"/>
    <x v="2"/>
  </r>
  <r>
    <s v="ORD00885"/>
    <d v="2025-02-07T00:00:00"/>
    <x v="2"/>
    <x v="4"/>
    <x v="2"/>
    <x v="10"/>
    <x v="2"/>
    <x v="0"/>
    <n v="133"/>
    <n v="1176"/>
    <n v="1680.55"/>
    <n v="1869"/>
    <n v="274"/>
    <n v="6"/>
    <s v="No"/>
    <n v="3227"/>
    <x v="0"/>
    <n v="223513.15"/>
    <n v="67105.149999999994"/>
    <d v="2025-02-07T00:00:00"/>
    <x v="5"/>
  </r>
  <r>
    <s v="ORD00886"/>
    <d v="2025-10-05T00:00:00"/>
    <x v="3"/>
    <x v="3"/>
    <x v="0"/>
    <x v="0"/>
    <x v="2"/>
    <x v="1"/>
    <n v="79"/>
    <n v="3337"/>
    <n v="4957.16"/>
    <n v="197"/>
    <n v="222"/>
    <n v="9"/>
    <s v="No"/>
    <n v="3694"/>
    <x v="3"/>
    <n v="391615.64"/>
    <n v="127992.64"/>
    <d v="2025-10-05T00:00:00"/>
    <x v="11"/>
  </r>
  <r>
    <s v="ORD00887"/>
    <d v="2025-08-11T00:00:00"/>
    <x v="1"/>
    <x v="0"/>
    <x v="0"/>
    <x v="8"/>
    <x v="3"/>
    <x v="0"/>
    <n v="444"/>
    <n v="633"/>
    <n v="846.65"/>
    <n v="1234"/>
    <n v="248"/>
    <n v="4"/>
    <s v="No"/>
    <n v="6864"/>
    <x v="1"/>
    <n v="375912.6"/>
    <n v="94860.6"/>
    <d v="2025-08-11T00:00:00"/>
    <x v="1"/>
  </r>
  <r>
    <s v="ORD00888"/>
    <d v="2025-03-26T00:00:00"/>
    <x v="0"/>
    <x v="1"/>
    <x v="3"/>
    <x v="14"/>
    <x v="2"/>
    <x v="1"/>
    <n v="272"/>
    <n v="4776"/>
    <n v="6204.89"/>
    <n v="225"/>
    <n v="104"/>
    <n v="10"/>
    <s v="No"/>
    <n v="4427"/>
    <x v="0"/>
    <n v="1687730.08"/>
    <n v="388658.08"/>
    <d v="2025-03-26T00:00:00"/>
    <x v="3"/>
  </r>
  <r>
    <s v="ORD00889"/>
    <d v="2025-01-31T00:00:00"/>
    <x v="0"/>
    <x v="3"/>
    <x v="0"/>
    <x v="8"/>
    <x v="3"/>
    <x v="2"/>
    <n v="270"/>
    <n v="4084"/>
    <n v="6039.06"/>
    <n v="1210"/>
    <n v="134"/>
    <n v="3"/>
    <s v="Yes"/>
    <n v="1449"/>
    <x v="1"/>
    <n v="1630546.2"/>
    <n v="527866.19999999995"/>
    <d v="2025-01-31T00:00:00"/>
    <x v="6"/>
  </r>
  <r>
    <s v="ORD00890"/>
    <d v="2025-01-17T00:00:00"/>
    <x v="1"/>
    <x v="3"/>
    <x v="3"/>
    <x v="16"/>
    <x v="1"/>
    <x v="2"/>
    <n v="214"/>
    <n v="3432"/>
    <n v="4688.4799999999996"/>
    <n v="571"/>
    <n v="221"/>
    <n v="6"/>
    <s v="No"/>
    <n v="514"/>
    <x v="3"/>
    <n v="1003334.72"/>
    <n v="268886.71999999997"/>
    <d v="2025-01-17T00:00:00"/>
    <x v="6"/>
  </r>
  <r>
    <s v="ORD00891"/>
    <d v="2025-07-24T00:00:00"/>
    <x v="0"/>
    <x v="4"/>
    <x v="0"/>
    <x v="2"/>
    <x v="1"/>
    <x v="1"/>
    <n v="108"/>
    <n v="4625"/>
    <n v="6504.85"/>
    <n v="1690"/>
    <n v="225"/>
    <n v="2"/>
    <s v="Yes"/>
    <n v="1118"/>
    <x v="1"/>
    <n v="702523.8"/>
    <n v="203023.8"/>
    <d v="2025-07-24T00:00:00"/>
    <x v="9"/>
  </r>
  <r>
    <s v="ORD00892"/>
    <d v="2025-08-16T00:00:00"/>
    <x v="0"/>
    <x v="2"/>
    <x v="1"/>
    <x v="3"/>
    <x v="0"/>
    <x v="0"/>
    <n v="64"/>
    <n v="4513"/>
    <n v="5973.86"/>
    <n v="1049"/>
    <n v="164"/>
    <n v="9"/>
    <s v="No"/>
    <n v="2944"/>
    <x v="1"/>
    <n v="382327.03999999998"/>
    <n v="93495.039999999994"/>
    <d v="2025-08-16T00:00:00"/>
    <x v="1"/>
  </r>
  <r>
    <s v="ORD00893"/>
    <d v="2025-01-09T00:00:00"/>
    <x v="2"/>
    <x v="3"/>
    <x v="1"/>
    <x v="3"/>
    <x v="0"/>
    <x v="2"/>
    <n v="52"/>
    <n v="682"/>
    <n v="807.15"/>
    <n v="967"/>
    <n v="151"/>
    <n v="5"/>
    <s v="Yes"/>
    <n v="6358"/>
    <x v="1"/>
    <n v="41971.8"/>
    <n v="6507.8"/>
    <d v="2025-01-09T00:00:00"/>
    <x v="6"/>
  </r>
  <r>
    <s v="ORD00894"/>
    <d v="2025-06-03T00:00:00"/>
    <x v="3"/>
    <x v="3"/>
    <x v="1"/>
    <x v="12"/>
    <x v="2"/>
    <x v="2"/>
    <n v="468"/>
    <n v="3091"/>
    <n v="4616.6099999999997"/>
    <n v="67"/>
    <n v="198"/>
    <n v="8"/>
    <s v="No"/>
    <n v="7749"/>
    <x v="1"/>
    <n v="2160573.48"/>
    <n v="713985.48"/>
    <d v="2025-06-03T00:00:00"/>
    <x v="7"/>
  </r>
  <r>
    <s v="ORD00895"/>
    <d v="2025-02-07T00:00:00"/>
    <x v="0"/>
    <x v="0"/>
    <x v="0"/>
    <x v="19"/>
    <x v="3"/>
    <x v="1"/>
    <n v="321"/>
    <n v="1452"/>
    <n v="1944.33"/>
    <n v="524"/>
    <n v="154"/>
    <n v="5"/>
    <s v="Yes"/>
    <n v="3062"/>
    <x v="1"/>
    <n v="624129.93000000005"/>
    <n v="158037.93"/>
    <d v="2025-02-07T00:00:00"/>
    <x v="5"/>
  </r>
  <r>
    <s v="ORD00896"/>
    <d v="2025-07-11T00:00:00"/>
    <x v="1"/>
    <x v="1"/>
    <x v="2"/>
    <x v="13"/>
    <x v="3"/>
    <x v="1"/>
    <n v="188"/>
    <n v="4519"/>
    <n v="5621.9"/>
    <n v="1334"/>
    <n v="99"/>
    <n v="8"/>
    <s v="No"/>
    <n v="6534"/>
    <x v="2"/>
    <n v="1056917.2"/>
    <n v="207345.2"/>
    <d v="2025-07-11T00:00:00"/>
    <x v="9"/>
  </r>
  <r>
    <s v="ORD00897"/>
    <d v="2025-11-14T00:00:00"/>
    <x v="1"/>
    <x v="0"/>
    <x v="0"/>
    <x v="2"/>
    <x v="1"/>
    <x v="1"/>
    <n v="199"/>
    <n v="1064"/>
    <n v="1344.2"/>
    <n v="1219"/>
    <n v="114"/>
    <n v="4"/>
    <s v="Yes"/>
    <n v="734"/>
    <x v="1"/>
    <n v="267495.8"/>
    <n v="55759.8"/>
    <d v="2025-11-14T00:00:00"/>
    <x v="0"/>
  </r>
  <r>
    <s v="ORD00898"/>
    <d v="2025-11-10T00:00:00"/>
    <x v="2"/>
    <x v="3"/>
    <x v="2"/>
    <x v="10"/>
    <x v="0"/>
    <x v="0"/>
    <n v="237"/>
    <n v="4731"/>
    <n v="6280.51"/>
    <n v="1596"/>
    <n v="107"/>
    <n v="8"/>
    <s v="No"/>
    <n v="1201"/>
    <x v="1"/>
    <n v="1488480.87"/>
    <n v="367233.87"/>
    <d v="2025-11-10T00:00:00"/>
    <x v="0"/>
  </r>
  <r>
    <s v="ORD00899"/>
    <d v="2025-07-18T00:00:00"/>
    <x v="0"/>
    <x v="4"/>
    <x v="0"/>
    <x v="0"/>
    <x v="1"/>
    <x v="2"/>
    <n v="27"/>
    <n v="4220"/>
    <n v="5566.16"/>
    <n v="1107"/>
    <n v="287"/>
    <n v="5"/>
    <s v="No"/>
    <n v="4228"/>
    <x v="3"/>
    <n v="150286.32"/>
    <n v="36346.32"/>
    <d v="2025-07-18T00:00:00"/>
    <x v="9"/>
  </r>
  <r>
    <s v="ORD00900"/>
    <d v="2025-02-26T00:00:00"/>
    <x v="3"/>
    <x v="1"/>
    <x v="2"/>
    <x v="13"/>
    <x v="0"/>
    <x v="1"/>
    <n v="405"/>
    <n v="4241"/>
    <n v="5971.15"/>
    <n v="96"/>
    <n v="109"/>
    <n v="4"/>
    <s v="Yes"/>
    <n v="628"/>
    <x v="1"/>
    <n v="2418315.75"/>
    <n v="700710.75"/>
    <d v="2025-02-26T00:00:00"/>
    <x v="5"/>
  </r>
  <r>
    <s v="ORD00901"/>
    <d v="2025-02-25T00:00:00"/>
    <x v="3"/>
    <x v="2"/>
    <x v="0"/>
    <x v="2"/>
    <x v="2"/>
    <x v="2"/>
    <n v="327"/>
    <n v="2104"/>
    <n v="2568.2600000000002"/>
    <n v="1699"/>
    <n v="146"/>
    <n v="3"/>
    <s v="Yes"/>
    <n v="2537"/>
    <x v="1"/>
    <n v="839821.02"/>
    <n v="151813.01999999999"/>
    <d v="2025-02-25T00:00:00"/>
    <x v="5"/>
  </r>
  <r>
    <s v="ORD00902"/>
    <d v="2025-01-13T00:00:00"/>
    <x v="2"/>
    <x v="1"/>
    <x v="0"/>
    <x v="8"/>
    <x v="2"/>
    <x v="2"/>
    <n v="282"/>
    <n v="1341"/>
    <n v="1674.9"/>
    <n v="1541"/>
    <n v="265"/>
    <n v="5"/>
    <s v="Yes"/>
    <n v="4665"/>
    <x v="1"/>
    <n v="472321.8"/>
    <n v="94159.8"/>
    <d v="2025-01-13T00:00:00"/>
    <x v="6"/>
  </r>
  <r>
    <s v="ORD00903"/>
    <d v="2025-11-20T00:00:00"/>
    <x v="3"/>
    <x v="3"/>
    <x v="2"/>
    <x v="17"/>
    <x v="3"/>
    <x v="1"/>
    <n v="299"/>
    <n v="3322"/>
    <n v="4064.39"/>
    <n v="1374"/>
    <n v="204"/>
    <n v="7"/>
    <s v="No"/>
    <n v="4667"/>
    <x v="1"/>
    <n v="1215252.6100000001"/>
    <n v="221974.61"/>
    <d v="2025-11-20T00:00:00"/>
    <x v="0"/>
  </r>
  <r>
    <s v="ORD00904"/>
    <d v="2025-02-20T00:00:00"/>
    <x v="0"/>
    <x v="0"/>
    <x v="2"/>
    <x v="10"/>
    <x v="2"/>
    <x v="2"/>
    <n v="307"/>
    <n v="1351"/>
    <n v="1710.46"/>
    <n v="181"/>
    <n v="218"/>
    <n v="6"/>
    <s v="No"/>
    <n v="3560"/>
    <x v="3"/>
    <n v="525111.22"/>
    <n v="110354.22"/>
    <d v="2025-02-20T00:00:00"/>
    <x v="5"/>
  </r>
  <r>
    <s v="ORD00905"/>
    <d v="2025-03-23T00:00:00"/>
    <x v="2"/>
    <x v="3"/>
    <x v="3"/>
    <x v="16"/>
    <x v="2"/>
    <x v="0"/>
    <n v="22"/>
    <n v="3891"/>
    <n v="5489.83"/>
    <n v="86"/>
    <n v="174"/>
    <n v="9"/>
    <s v="No"/>
    <n v="1912"/>
    <x v="2"/>
    <n v="120776.26"/>
    <n v="35174.26"/>
    <d v="2025-03-23T00:00:00"/>
    <x v="3"/>
  </r>
  <r>
    <s v="ORD00906"/>
    <d v="2025-06-01T00:00:00"/>
    <x v="3"/>
    <x v="2"/>
    <x v="1"/>
    <x v="7"/>
    <x v="3"/>
    <x v="2"/>
    <n v="15"/>
    <n v="3703"/>
    <n v="4679.7"/>
    <n v="813"/>
    <n v="213"/>
    <n v="4"/>
    <s v="Yes"/>
    <n v="6020"/>
    <x v="1"/>
    <n v="70195.5"/>
    <n v="14650.5"/>
    <d v="2025-06-01T00:00:00"/>
    <x v="7"/>
  </r>
  <r>
    <s v="ORD00907"/>
    <d v="2025-03-24T00:00:00"/>
    <x v="2"/>
    <x v="0"/>
    <x v="1"/>
    <x v="1"/>
    <x v="0"/>
    <x v="2"/>
    <n v="374"/>
    <n v="1479"/>
    <n v="1795.37"/>
    <n v="1489"/>
    <n v="215"/>
    <n v="7"/>
    <s v="No"/>
    <n v="5365"/>
    <x v="3"/>
    <n v="671468.38"/>
    <n v="118322.38"/>
    <d v="2025-03-24T00:00:00"/>
    <x v="3"/>
  </r>
  <r>
    <s v="ORD00908"/>
    <d v="2025-03-05T00:00:00"/>
    <x v="0"/>
    <x v="1"/>
    <x v="0"/>
    <x v="0"/>
    <x v="2"/>
    <x v="0"/>
    <n v="284"/>
    <n v="1234"/>
    <n v="1507.8"/>
    <n v="1844"/>
    <n v="255"/>
    <n v="3"/>
    <s v="Yes"/>
    <n v="4445"/>
    <x v="1"/>
    <n v="428215.2"/>
    <n v="77759.199999999997"/>
    <d v="2025-03-05T00:00:00"/>
    <x v="3"/>
  </r>
  <r>
    <s v="ORD00909"/>
    <d v="2025-12-14T00:00:00"/>
    <x v="3"/>
    <x v="1"/>
    <x v="0"/>
    <x v="2"/>
    <x v="0"/>
    <x v="2"/>
    <n v="453"/>
    <n v="3846"/>
    <n v="5567.78"/>
    <n v="1362"/>
    <n v="146"/>
    <n v="7"/>
    <s v="No"/>
    <n v="1645"/>
    <x v="1"/>
    <n v="2522204.34"/>
    <n v="779966.34"/>
    <d v="2025-12-14T00:00:00"/>
    <x v="10"/>
  </r>
  <r>
    <s v="ORD00910"/>
    <d v="2025-10-14T00:00:00"/>
    <x v="3"/>
    <x v="2"/>
    <x v="2"/>
    <x v="10"/>
    <x v="1"/>
    <x v="1"/>
    <n v="174"/>
    <n v="2813"/>
    <n v="4052.41"/>
    <n v="1013"/>
    <n v="256"/>
    <n v="5"/>
    <s v="Yes"/>
    <n v="6768"/>
    <x v="0"/>
    <n v="705119.34"/>
    <n v="215657.34"/>
    <d v="2025-10-14T00:00:00"/>
    <x v="11"/>
  </r>
  <r>
    <s v="ORD00911"/>
    <d v="2025-04-23T00:00:00"/>
    <x v="3"/>
    <x v="4"/>
    <x v="0"/>
    <x v="2"/>
    <x v="1"/>
    <x v="0"/>
    <n v="288"/>
    <n v="2051"/>
    <n v="2555.2199999999998"/>
    <n v="80"/>
    <n v="264"/>
    <n v="4"/>
    <s v="Yes"/>
    <n v="6238"/>
    <x v="1"/>
    <n v="735903.36"/>
    <n v="145215.35999999999"/>
    <d v="2025-04-23T00:00:00"/>
    <x v="8"/>
  </r>
  <r>
    <s v="ORD00912"/>
    <d v="2025-06-10T00:00:00"/>
    <x v="1"/>
    <x v="1"/>
    <x v="1"/>
    <x v="1"/>
    <x v="2"/>
    <x v="2"/>
    <n v="423"/>
    <n v="3982"/>
    <n v="5426.74"/>
    <n v="1253"/>
    <n v="257"/>
    <n v="1"/>
    <s v="Yes"/>
    <n v="658"/>
    <x v="1"/>
    <n v="2295511.02"/>
    <n v="611125.02"/>
    <d v="2025-06-10T00:00:00"/>
    <x v="7"/>
  </r>
  <r>
    <s v="ORD00913"/>
    <d v="2025-12-30T00:00:00"/>
    <x v="1"/>
    <x v="2"/>
    <x v="2"/>
    <x v="10"/>
    <x v="1"/>
    <x v="0"/>
    <n v="334"/>
    <n v="3043"/>
    <n v="3786.35"/>
    <n v="1888"/>
    <n v="102"/>
    <n v="4"/>
    <s v="Yes"/>
    <n v="2321"/>
    <x v="1"/>
    <n v="1264640.8999999999"/>
    <n v="248278.9"/>
    <d v="2025-12-30T00:00:00"/>
    <x v="10"/>
  </r>
  <r>
    <s v="ORD00914"/>
    <d v="2025-07-25T00:00:00"/>
    <x v="1"/>
    <x v="4"/>
    <x v="2"/>
    <x v="17"/>
    <x v="2"/>
    <x v="0"/>
    <n v="290"/>
    <n v="2121"/>
    <n v="3111.52"/>
    <n v="736"/>
    <n v="227"/>
    <n v="2"/>
    <s v="Yes"/>
    <n v="7816"/>
    <x v="1"/>
    <n v="902340.8"/>
    <n v="287250.8"/>
    <d v="2025-07-25T00:00:00"/>
    <x v="9"/>
  </r>
  <r>
    <s v="ORD00915"/>
    <d v="2025-05-04T00:00:00"/>
    <x v="0"/>
    <x v="4"/>
    <x v="0"/>
    <x v="0"/>
    <x v="0"/>
    <x v="0"/>
    <n v="109"/>
    <n v="3821"/>
    <n v="4756.13"/>
    <n v="1849"/>
    <n v="118"/>
    <n v="6"/>
    <s v="No"/>
    <n v="6369"/>
    <x v="3"/>
    <n v="518418.17"/>
    <n v="101929.17"/>
    <d v="2025-05-04T00:00:00"/>
    <x v="2"/>
  </r>
  <r>
    <s v="ORD00916"/>
    <d v="2025-06-27T00:00:00"/>
    <x v="3"/>
    <x v="1"/>
    <x v="2"/>
    <x v="17"/>
    <x v="1"/>
    <x v="2"/>
    <n v="141"/>
    <n v="4968"/>
    <n v="5762.89"/>
    <n v="835"/>
    <n v="188"/>
    <n v="1"/>
    <s v="No"/>
    <n v="6576"/>
    <x v="2"/>
    <n v="812567.49"/>
    <n v="112079.49"/>
    <d v="2025-06-27T00:00:00"/>
    <x v="7"/>
  </r>
  <r>
    <s v="ORD00917"/>
    <d v="2025-01-10T00:00:00"/>
    <x v="3"/>
    <x v="3"/>
    <x v="2"/>
    <x v="13"/>
    <x v="0"/>
    <x v="0"/>
    <n v="253"/>
    <n v="4728"/>
    <n v="5529.21"/>
    <n v="1303"/>
    <n v="280"/>
    <n v="5"/>
    <s v="Yes"/>
    <n v="3118"/>
    <x v="1"/>
    <n v="1398890.13"/>
    <n v="202706.13"/>
    <d v="2025-01-10T00:00:00"/>
    <x v="6"/>
  </r>
  <r>
    <s v="ORD00918"/>
    <d v="2025-10-11T00:00:00"/>
    <x v="1"/>
    <x v="3"/>
    <x v="0"/>
    <x v="4"/>
    <x v="3"/>
    <x v="0"/>
    <n v="271"/>
    <n v="1683"/>
    <n v="2172.14"/>
    <n v="1910"/>
    <n v="243"/>
    <n v="3"/>
    <s v="Yes"/>
    <n v="3319"/>
    <x v="1"/>
    <n v="588649.93999999994"/>
    <n v="132556.94"/>
    <d v="2025-10-11T00:00:00"/>
    <x v="11"/>
  </r>
  <r>
    <s v="ORD00919"/>
    <d v="2025-03-14T00:00:00"/>
    <x v="0"/>
    <x v="3"/>
    <x v="3"/>
    <x v="15"/>
    <x v="2"/>
    <x v="1"/>
    <n v="389"/>
    <n v="600"/>
    <n v="715.89"/>
    <n v="88"/>
    <n v="218"/>
    <n v="10"/>
    <s v="No"/>
    <n v="5402"/>
    <x v="3"/>
    <n v="278481.21000000002"/>
    <n v="45081.21"/>
    <d v="2025-03-14T00:00:00"/>
    <x v="3"/>
  </r>
  <r>
    <s v="ORD00920"/>
    <d v="2025-09-16T00:00:00"/>
    <x v="3"/>
    <x v="1"/>
    <x v="1"/>
    <x v="11"/>
    <x v="1"/>
    <x v="2"/>
    <n v="394"/>
    <n v="3408"/>
    <n v="4630.72"/>
    <n v="275"/>
    <n v="137"/>
    <n v="9"/>
    <s v="No"/>
    <n v="4700"/>
    <x v="0"/>
    <n v="1824503.68"/>
    <n v="481751.68"/>
    <d v="2025-09-16T00:00:00"/>
    <x v="4"/>
  </r>
  <r>
    <s v="ORD00921"/>
    <d v="2025-11-30T00:00:00"/>
    <x v="1"/>
    <x v="4"/>
    <x v="2"/>
    <x v="17"/>
    <x v="2"/>
    <x v="1"/>
    <n v="425"/>
    <n v="3798"/>
    <n v="5626.22"/>
    <n v="1814"/>
    <n v="125"/>
    <n v="8"/>
    <s v="No"/>
    <n v="5044"/>
    <x v="0"/>
    <n v="2391143.5"/>
    <n v="776993.5"/>
    <d v="2025-11-30T00:00:00"/>
    <x v="0"/>
  </r>
  <r>
    <s v="ORD00922"/>
    <d v="2025-10-25T00:00:00"/>
    <x v="3"/>
    <x v="3"/>
    <x v="1"/>
    <x v="7"/>
    <x v="0"/>
    <x v="0"/>
    <n v="25"/>
    <n v="2783"/>
    <n v="3257.43"/>
    <n v="1831"/>
    <n v="297"/>
    <n v="1"/>
    <s v="Yes"/>
    <n v="7213"/>
    <x v="1"/>
    <n v="81435.75"/>
    <n v="11860.75"/>
    <d v="2025-10-25T00:00:00"/>
    <x v="11"/>
  </r>
  <r>
    <s v="ORD00923"/>
    <d v="2025-09-23T00:00:00"/>
    <x v="0"/>
    <x v="0"/>
    <x v="2"/>
    <x v="13"/>
    <x v="3"/>
    <x v="1"/>
    <n v="75"/>
    <n v="317"/>
    <n v="457.45"/>
    <n v="364"/>
    <n v="250"/>
    <n v="2"/>
    <s v="Yes"/>
    <n v="1956"/>
    <x v="1"/>
    <n v="34308.75"/>
    <n v="10533.75"/>
    <d v="2025-09-23T00:00:00"/>
    <x v="4"/>
  </r>
  <r>
    <s v="ORD00924"/>
    <d v="2025-04-13T00:00:00"/>
    <x v="0"/>
    <x v="1"/>
    <x v="1"/>
    <x v="12"/>
    <x v="3"/>
    <x v="2"/>
    <n v="60"/>
    <n v="3457"/>
    <n v="4803.41"/>
    <n v="1305"/>
    <n v="300"/>
    <n v="8"/>
    <s v="No"/>
    <n v="3683"/>
    <x v="3"/>
    <n v="288204.59999999998"/>
    <n v="80784.600000000006"/>
    <d v="2025-04-13T00:00:00"/>
    <x v="8"/>
  </r>
  <r>
    <s v="ORD00925"/>
    <d v="2025-06-13T00:00:00"/>
    <x v="0"/>
    <x v="4"/>
    <x v="0"/>
    <x v="4"/>
    <x v="2"/>
    <x v="0"/>
    <n v="67"/>
    <n v="245"/>
    <n v="330.27"/>
    <n v="526"/>
    <n v="96"/>
    <n v="10"/>
    <s v="No"/>
    <n v="2122"/>
    <x v="1"/>
    <n v="22128.09"/>
    <n v="5713.09"/>
    <d v="2025-06-13T00:00:00"/>
    <x v="7"/>
  </r>
  <r>
    <s v="ORD00926"/>
    <d v="2025-04-27T00:00:00"/>
    <x v="1"/>
    <x v="2"/>
    <x v="2"/>
    <x v="17"/>
    <x v="0"/>
    <x v="0"/>
    <n v="89"/>
    <n v="1139"/>
    <n v="1459.16"/>
    <n v="1693"/>
    <n v="90"/>
    <n v="10"/>
    <s v="No"/>
    <n v="7305"/>
    <x v="2"/>
    <n v="129865.24"/>
    <n v="28494.240000000002"/>
    <d v="2025-04-27T00:00:00"/>
    <x v="8"/>
  </r>
  <r>
    <s v="ORD00927"/>
    <d v="2025-01-13T00:00:00"/>
    <x v="3"/>
    <x v="0"/>
    <x v="3"/>
    <x v="16"/>
    <x v="3"/>
    <x v="1"/>
    <n v="324"/>
    <n v="397"/>
    <n v="486.51"/>
    <n v="1035"/>
    <n v="277"/>
    <n v="9"/>
    <s v="No"/>
    <n v="3009"/>
    <x v="0"/>
    <n v="157629.24"/>
    <n v="29001.24"/>
    <d v="2025-01-13T00:00:00"/>
    <x v="6"/>
  </r>
  <r>
    <s v="ORD00928"/>
    <d v="2025-07-02T00:00:00"/>
    <x v="2"/>
    <x v="1"/>
    <x v="1"/>
    <x v="7"/>
    <x v="0"/>
    <x v="0"/>
    <n v="469"/>
    <n v="3514"/>
    <n v="4533.4399999999996"/>
    <n v="1512"/>
    <n v="266"/>
    <n v="2"/>
    <s v="Yes"/>
    <n v="5093"/>
    <x v="1"/>
    <n v="2126183.36"/>
    <n v="478117.36"/>
    <d v="2025-07-02T00:00:00"/>
    <x v="9"/>
  </r>
  <r>
    <s v="ORD00929"/>
    <d v="2025-07-21T00:00:00"/>
    <x v="1"/>
    <x v="0"/>
    <x v="3"/>
    <x v="14"/>
    <x v="3"/>
    <x v="2"/>
    <n v="342"/>
    <n v="3422"/>
    <n v="4207.9799999999996"/>
    <n v="1212"/>
    <n v="289"/>
    <n v="9"/>
    <s v="No"/>
    <n v="7919"/>
    <x v="0"/>
    <n v="1439129.16"/>
    <n v="268805.15999999997"/>
    <d v="2025-07-21T00:00:00"/>
    <x v="9"/>
  </r>
  <r>
    <s v="ORD00930"/>
    <d v="2025-04-11T00:00:00"/>
    <x v="3"/>
    <x v="0"/>
    <x v="2"/>
    <x v="17"/>
    <x v="3"/>
    <x v="2"/>
    <n v="103"/>
    <n v="910"/>
    <n v="1176.52"/>
    <n v="1920"/>
    <n v="144"/>
    <n v="6"/>
    <s v="No"/>
    <n v="7393"/>
    <x v="1"/>
    <n v="121181.56"/>
    <n v="27451.56"/>
    <d v="2025-04-11T00:00:00"/>
    <x v="8"/>
  </r>
  <r>
    <s v="ORD00931"/>
    <d v="2025-05-06T00:00:00"/>
    <x v="3"/>
    <x v="4"/>
    <x v="1"/>
    <x v="3"/>
    <x v="3"/>
    <x v="2"/>
    <n v="353"/>
    <n v="2431"/>
    <n v="3459.04"/>
    <n v="213"/>
    <n v="196"/>
    <n v="6"/>
    <s v="No"/>
    <n v="5679"/>
    <x v="3"/>
    <n v="1221041.1200000001"/>
    <n v="362898.12"/>
    <d v="2025-05-06T00:00:00"/>
    <x v="2"/>
  </r>
  <r>
    <s v="ORD00932"/>
    <d v="2025-06-23T00:00:00"/>
    <x v="3"/>
    <x v="3"/>
    <x v="3"/>
    <x v="9"/>
    <x v="3"/>
    <x v="1"/>
    <n v="171"/>
    <n v="4038"/>
    <n v="4874.13"/>
    <n v="592"/>
    <n v="167"/>
    <n v="6"/>
    <s v="No"/>
    <n v="6044"/>
    <x v="0"/>
    <n v="833476.23"/>
    <n v="142978.23000000001"/>
    <d v="2025-06-23T00:00:00"/>
    <x v="7"/>
  </r>
  <r>
    <s v="ORD00933"/>
    <d v="2025-12-06T00:00:00"/>
    <x v="2"/>
    <x v="2"/>
    <x v="1"/>
    <x v="11"/>
    <x v="0"/>
    <x v="2"/>
    <n v="219"/>
    <n v="1110"/>
    <n v="1564.23"/>
    <n v="1041"/>
    <n v="273"/>
    <n v="10"/>
    <s v="No"/>
    <n v="2527"/>
    <x v="1"/>
    <n v="342566.37"/>
    <n v="99476.37"/>
    <d v="2025-12-06T00:00:00"/>
    <x v="10"/>
  </r>
  <r>
    <s v="ORD00934"/>
    <d v="2025-07-04T00:00:00"/>
    <x v="2"/>
    <x v="2"/>
    <x v="3"/>
    <x v="14"/>
    <x v="0"/>
    <x v="0"/>
    <n v="163"/>
    <n v="2634"/>
    <n v="3086"/>
    <n v="368"/>
    <n v="263"/>
    <n v="4"/>
    <s v="No"/>
    <n v="2866"/>
    <x v="2"/>
    <n v="503018"/>
    <n v="73676"/>
    <d v="2025-07-04T00:00:00"/>
    <x v="9"/>
  </r>
  <r>
    <s v="ORD00935"/>
    <d v="2025-12-11T00:00:00"/>
    <x v="2"/>
    <x v="1"/>
    <x v="2"/>
    <x v="17"/>
    <x v="1"/>
    <x v="2"/>
    <n v="355"/>
    <n v="1328"/>
    <n v="1615.48"/>
    <n v="1444"/>
    <n v="122"/>
    <n v="8"/>
    <s v="No"/>
    <n v="828"/>
    <x v="1"/>
    <n v="573495.4"/>
    <n v="102055.4"/>
    <d v="2025-12-11T00:00:00"/>
    <x v="10"/>
  </r>
  <r>
    <s v="ORD00936"/>
    <d v="2025-02-07T00:00:00"/>
    <x v="0"/>
    <x v="2"/>
    <x v="2"/>
    <x v="18"/>
    <x v="1"/>
    <x v="1"/>
    <n v="249"/>
    <n v="2108"/>
    <n v="2897.95"/>
    <n v="953"/>
    <n v="200"/>
    <n v="8"/>
    <s v="No"/>
    <n v="1789"/>
    <x v="2"/>
    <n v="721589.55"/>
    <n v="196697.55"/>
    <d v="2025-02-07T00:00:00"/>
    <x v="5"/>
  </r>
  <r>
    <s v="ORD00937"/>
    <d v="2025-09-03T00:00:00"/>
    <x v="0"/>
    <x v="1"/>
    <x v="1"/>
    <x v="3"/>
    <x v="2"/>
    <x v="2"/>
    <n v="142"/>
    <n v="4683"/>
    <n v="5642.79"/>
    <n v="1210"/>
    <n v="95"/>
    <n v="10"/>
    <s v="No"/>
    <n v="4368"/>
    <x v="3"/>
    <n v="801276.18"/>
    <n v="136290.18"/>
    <d v="2025-09-03T00:00:00"/>
    <x v="4"/>
  </r>
  <r>
    <s v="ORD00938"/>
    <d v="2025-03-02T00:00:00"/>
    <x v="3"/>
    <x v="2"/>
    <x v="0"/>
    <x v="8"/>
    <x v="2"/>
    <x v="2"/>
    <n v="388"/>
    <n v="3797"/>
    <n v="5119.9799999999996"/>
    <n v="1630"/>
    <n v="142"/>
    <n v="2"/>
    <s v="No"/>
    <n v="6045"/>
    <x v="1"/>
    <n v="1986552.24"/>
    <n v="513316.24"/>
    <d v="2025-03-02T00:00:00"/>
    <x v="3"/>
  </r>
  <r>
    <s v="ORD00939"/>
    <d v="2025-11-30T00:00:00"/>
    <x v="2"/>
    <x v="3"/>
    <x v="1"/>
    <x v="7"/>
    <x v="1"/>
    <x v="1"/>
    <n v="464"/>
    <n v="365"/>
    <n v="535.79999999999995"/>
    <n v="861"/>
    <n v="212"/>
    <n v="8"/>
    <s v="No"/>
    <n v="4577"/>
    <x v="0"/>
    <n v="248611.20000000001"/>
    <n v="79251.199999999997"/>
    <d v="2025-11-30T00:00:00"/>
    <x v="0"/>
  </r>
  <r>
    <s v="ORD00940"/>
    <d v="2025-02-07T00:00:00"/>
    <x v="3"/>
    <x v="4"/>
    <x v="1"/>
    <x v="11"/>
    <x v="3"/>
    <x v="2"/>
    <n v="425"/>
    <n v="1568"/>
    <n v="2283.2199999999998"/>
    <n v="282"/>
    <n v="135"/>
    <n v="7"/>
    <s v="No"/>
    <n v="5441"/>
    <x v="1"/>
    <n v="970368.5"/>
    <n v="303968.5"/>
    <d v="2025-02-07T00:00:00"/>
    <x v="5"/>
  </r>
  <r>
    <s v="ORD00941"/>
    <d v="2025-12-08T00:00:00"/>
    <x v="2"/>
    <x v="1"/>
    <x v="0"/>
    <x v="8"/>
    <x v="0"/>
    <x v="0"/>
    <n v="132"/>
    <n v="3526"/>
    <n v="4957.03"/>
    <n v="1120"/>
    <n v="292"/>
    <n v="1"/>
    <s v="No"/>
    <n v="5925"/>
    <x v="2"/>
    <n v="654327.96"/>
    <n v="188895.96"/>
    <d v="2025-12-08T00:00:00"/>
    <x v="10"/>
  </r>
  <r>
    <s v="ORD00942"/>
    <d v="2025-05-06T00:00:00"/>
    <x v="1"/>
    <x v="0"/>
    <x v="3"/>
    <x v="6"/>
    <x v="0"/>
    <x v="0"/>
    <n v="463"/>
    <n v="3512"/>
    <n v="4552.75"/>
    <n v="1330"/>
    <n v="244"/>
    <n v="4"/>
    <s v="Yes"/>
    <n v="4802"/>
    <x v="1"/>
    <n v="2107923.25"/>
    <n v="481867.25"/>
    <d v="2025-05-06T00:00:00"/>
    <x v="2"/>
  </r>
  <r>
    <s v="ORD00943"/>
    <d v="2025-01-04T00:00:00"/>
    <x v="1"/>
    <x v="3"/>
    <x v="0"/>
    <x v="8"/>
    <x v="3"/>
    <x v="2"/>
    <n v="475"/>
    <n v="2137"/>
    <n v="2871.62"/>
    <n v="1204"/>
    <n v="270"/>
    <n v="5"/>
    <s v="Yes"/>
    <n v="3241"/>
    <x v="1"/>
    <n v="1364019.5"/>
    <n v="348944.5"/>
    <d v="2025-01-04T00:00:00"/>
    <x v="6"/>
  </r>
  <r>
    <s v="ORD00944"/>
    <d v="2025-03-09T00:00:00"/>
    <x v="2"/>
    <x v="2"/>
    <x v="2"/>
    <x v="13"/>
    <x v="0"/>
    <x v="1"/>
    <n v="27"/>
    <n v="2012"/>
    <n v="2694.77"/>
    <n v="704"/>
    <n v="130"/>
    <n v="9"/>
    <s v="No"/>
    <n v="7835"/>
    <x v="2"/>
    <n v="72758.789999999994"/>
    <n v="18434.79"/>
    <d v="2025-03-09T00:00:00"/>
    <x v="3"/>
  </r>
  <r>
    <s v="ORD00945"/>
    <d v="2025-08-07T00:00:00"/>
    <x v="3"/>
    <x v="2"/>
    <x v="3"/>
    <x v="15"/>
    <x v="1"/>
    <x v="2"/>
    <n v="43"/>
    <n v="332"/>
    <n v="464.75"/>
    <n v="75"/>
    <n v="165"/>
    <n v="3"/>
    <s v="Yes"/>
    <n v="4962"/>
    <x v="0"/>
    <n v="19984.25"/>
    <n v="5708.25"/>
    <d v="2025-08-07T00:00:00"/>
    <x v="1"/>
  </r>
  <r>
    <s v="ORD00946"/>
    <d v="2025-12-29T00:00:00"/>
    <x v="2"/>
    <x v="1"/>
    <x v="3"/>
    <x v="14"/>
    <x v="2"/>
    <x v="1"/>
    <n v="388"/>
    <n v="2129"/>
    <n v="2785.54"/>
    <n v="559"/>
    <n v="259"/>
    <n v="3"/>
    <s v="Yes"/>
    <n v="6748"/>
    <x v="1"/>
    <n v="1080789.52"/>
    <n v="254737.52"/>
    <d v="2025-12-29T00:00:00"/>
    <x v="10"/>
  </r>
  <r>
    <s v="ORD00947"/>
    <d v="2025-11-14T00:00:00"/>
    <x v="0"/>
    <x v="1"/>
    <x v="3"/>
    <x v="9"/>
    <x v="0"/>
    <x v="1"/>
    <n v="200"/>
    <n v="3194"/>
    <n v="3941.68"/>
    <n v="153"/>
    <n v="227"/>
    <n v="1"/>
    <s v="Yes"/>
    <n v="2646"/>
    <x v="1"/>
    <n v="788336"/>
    <n v="149536"/>
    <d v="2025-11-14T00:00:00"/>
    <x v="0"/>
  </r>
  <r>
    <s v="ORD00948"/>
    <d v="2025-06-27T00:00:00"/>
    <x v="2"/>
    <x v="0"/>
    <x v="1"/>
    <x v="3"/>
    <x v="3"/>
    <x v="0"/>
    <n v="384"/>
    <n v="4360"/>
    <n v="5535.29"/>
    <n v="1532"/>
    <n v="258"/>
    <n v="3"/>
    <s v="Yes"/>
    <n v="2470"/>
    <x v="1"/>
    <n v="2125551.36"/>
    <n v="451311.35999999999"/>
    <d v="2025-06-27T00:00:00"/>
    <x v="7"/>
  </r>
  <r>
    <s v="ORD00949"/>
    <d v="2025-06-27T00:00:00"/>
    <x v="2"/>
    <x v="4"/>
    <x v="1"/>
    <x v="1"/>
    <x v="2"/>
    <x v="0"/>
    <n v="411"/>
    <n v="4994"/>
    <n v="7391.6"/>
    <n v="499"/>
    <n v="135"/>
    <n v="5"/>
    <s v="Yes"/>
    <n v="7512"/>
    <x v="1"/>
    <n v="3037947.6"/>
    <n v="985413.6"/>
    <d v="2025-06-27T00:00:00"/>
    <x v="7"/>
  </r>
  <r>
    <s v="ORD00950"/>
    <d v="2025-05-28T00:00:00"/>
    <x v="1"/>
    <x v="1"/>
    <x v="0"/>
    <x v="2"/>
    <x v="2"/>
    <x v="1"/>
    <n v="197"/>
    <n v="4779"/>
    <n v="5573.65"/>
    <n v="1096"/>
    <n v="115"/>
    <n v="7"/>
    <s v="No"/>
    <n v="3337"/>
    <x v="1"/>
    <n v="1098009.05"/>
    <n v="156546.04999999999"/>
    <d v="2025-05-28T00:00:00"/>
    <x v="2"/>
  </r>
  <r>
    <s v="ORD00951"/>
    <d v="2025-03-13T00:00:00"/>
    <x v="2"/>
    <x v="0"/>
    <x v="3"/>
    <x v="9"/>
    <x v="0"/>
    <x v="0"/>
    <n v="97"/>
    <n v="2638"/>
    <n v="3267.78"/>
    <n v="1256"/>
    <n v="294"/>
    <n v="6"/>
    <s v="No"/>
    <n v="2332"/>
    <x v="1"/>
    <n v="316974.65999999997"/>
    <n v="61088.66"/>
    <d v="2025-03-13T00:00:00"/>
    <x v="3"/>
  </r>
  <r>
    <s v="ORD00952"/>
    <d v="2025-05-07T00:00:00"/>
    <x v="0"/>
    <x v="2"/>
    <x v="1"/>
    <x v="3"/>
    <x v="3"/>
    <x v="0"/>
    <n v="431"/>
    <n v="4679"/>
    <n v="5517.65"/>
    <n v="458"/>
    <n v="182"/>
    <n v="2"/>
    <s v="Yes"/>
    <n v="5793"/>
    <x v="1"/>
    <n v="2378107.15"/>
    <n v="361458.15"/>
    <d v="2025-05-07T00:00:00"/>
    <x v="2"/>
  </r>
  <r>
    <s v="ORD00953"/>
    <d v="2025-10-23T00:00:00"/>
    <x v="2"/>
    <x v="4"/>
    <x v="1"/>
    <x v="1"/>
    <x v="2"/>
    <x v="2"/>
    <n v="500"/>
    <n v="3734"/>
    <n v="4929.8"/>
    <n v="383"/>
    <n v="274"/>
    <n v="8"/>
    <s v="No"/>
    <n v="507"/>
    <x v="0"/>
    <n v="2464900"/>
    <n v="597900"/>
    <d v="2025-10-23T00:00:00"/>
    <x v="11"/>
  </r>
  <r>
    <s v="ORD00954"/>
    <d v="2025-08-22T00:00:00"/>
    <x v="3"/>
    <x v="1"/>
    <x v="0"/>
    <x v="8"/>
    <x v="1"/>
    <x v="2"/>
    <n v="157"/>
    <n v="501"/>
    <n v="602.05999999999995"/>
    <n v="1284"/>
    <n v="278"/>
    <n v="2"/>
    <s v="Yes"/>
    <n v="5636"/>
    <x v="1"/>
    <n v="94523.42"/>
    <n v="15866.42"/>
    <d v="2025-08-22T00:00:00"/>
    <x v="1"/>
  </r>
  <r>
    <s v="ORD00955"/>
    <d v="2025-03-26T00:00:00"/>
    <x v="2"/>
    <x v="2"/>
    <x v="3"/>
    <x v="16"/>
    <x v="2"/>
    <x v="1"/>
    <n v="291"/>
    <n v="2919"/>
    <n v="4040.29"/>
    <n v="1235"/>
    <n v="123"/>
    <n v="1"/>
    <s v="Yes"/>
    <n v="6953"/>
    <x v="1"/>
    <n v="1175724.3899999999"/>
    <n v="326295.39"/>
    <d v="2025-03-26T00:00:00"/>
    <x v="3"/>
  </r>
  <r>
    <s v="ORD00956"/>
    <d v="2025-05-28T00:00:00"/>
    <x v="0"/>
    <x v="2"/>
    <x v="3"/>
    <x v="6"/>
    <x v="0"/>
    <x v="2"/>
    <n v="404"/>
    <n v="3529"/>
    <n v="5149.62"/>
    <n v="544"/>
    <n v="140"/>
    <n v="6"/>
    <s v="No"/>
    <n v="5887"/>
    <x v="1"/>
    <n v="2080446.48"/>
    <n v="654730.48"/>
    <d v="2025-05-28T00:00:00"/>
    <x v="2"/>
  </r>
  <r>
    <s v="ORD00957"/>
    <d v="2025-06-18T00:00:00"/>
    <x v="0"/>
    <x v="1"/>
    <x v="2"/>
    <x v="13"/>
    <x v="1"/>
    <x v="0"/>
    <n v="416"/>
    <n v="173"/>
    <n v="203.41"/>
    <n v="1291"/>
    <n v="164"/>
    <n v="6"/>
    <s v="No"/>
    <n v="1311"/>
    <x v="3"/>
    <n v="84618.559999999998"/>
    <n v="12650.56"/>
    <d v="2025-06-18T00:00:00"/>
    <x v="7"/>
  </r>
  <r>
    <s v="ORD00958"/>
    <d v="2025-02-21T00:00:00"/>
    <x v="3"/>
    <x v="4"/>
    <x v="0"/>
    <x v="4"/>
    <x v="2"/>
    <x v="1"/>
    <n v="330"/>
    <n v="3906"/>
    <n v="5670.88"/>
    <n v="722"/>
    <n v="191"/>
    <n v="5"/>
    <s v="No"/>
    <n v="6539"/>
    <x v="0"/>
    <n v="1871390.4"/>
    <n v="582410.4"/>
    <d v="2025-02-21T00:00:00"/>
    <x v="5"/>
  </r>
  <r>
    <s v="ORD00959"/>
    <d v="2025-05-02T00:00:00"/>
    <x v="0"/>
    <x v="3"/>
    <x v="2"/>
    <x v="17"/>
    <x v="3"/>
    <x v="0"/>
    <n v="474"/>
    <n v="1938"/>
    <n v="2489.5500000000002"/>
    <n v="538"/>
    <n v="128"/>
    <n v="4"/>
    <s v="Yes"/>
    <n v="3836"/>
    <x v="1"/>
    <n v="1180046.7"/>
    <n v="261434.7"/>
    <d v="2025-05-02T00:00:00"/>
    <x v="2"/>
  </r>
  <r>
    <s v="ORD00960"/>
    <d v="2025-06-20T00:00:00"/>
    <x v="3"/>
    <x v="0"/>
    <x v="1"/>
    <x v="11"/>
    <x v="1"/>
    <x v="2"/>
    <n v="269"/>
    <n v="1661"/>
    <n v="2485"/>
    <n v="1807"/>
    <n v="110"/>
    <n v="10"/>
    <s v="No"/>
    <n v="1286"/>
    <x v="0"/>
    <n v="668465"/>
    <n v="221656"/>
    <d v="2025-06-20T00:00:00"/>
    <x v="7"/>
  </r>
  <r>
    <s v="ORD00961"/>
    <d v="2025-05-25T00:00:00"/>
    <x v="0"/>
    <x v="3"/>
    <x v="2"/>
    <x v="5"/>
    <x v="2"/>
    <x v="1"/>
    <n v="426"/>
    <n v="3130"/>
    <n v="4460.66"/>
    <n v="1109"/>
    <n v="227"/>
    <n v="3"/>
    <s v="Yes"/>
    <n v="1362"/>
    <x v="1"/>
    <n v="1900241.16"/>
    <n v="566861.16"/>
    <d v="2025-05-25T00:00:00"/>
    <x v="2"/>
  </r>
  <r>
    <s v="ORD00962"/>
    <d v="2025-05-21T00:00:00"/>
    <x v="3"/>
    <x v="3"/>
    <x v="0"/>
    <x v="0"/>
    <x v="1"/>
    <x v="2"/>
    <n v="453"/>
    <n v="2498"/>
    <n v="3095.17"/>
    <n v="1544"/>
    <n v="166"/>
    <n v="8"/>
    <s v="No"/>
    <n v="1920"/>
    <x v="0"/>
    <n v="1402112.01"/>
    <n v="270518.01"/>
    <d v="2025-05-21T00:00:00"/>
    <x v="2"/>
  </r>
  <r>
    <s v="ORD00963"/>
    <d v="2025-08-29T00:00:00"/>
    <x v="0"/>
    <x v="2"/>
    <x v="3"/>
    <x v="14"/>
    <x v="3"/>
    <x v="0"/>
    <n v="319"/>
    <n v="2844"/>
    <n v="3371.51"/>
    <n v="1803"/>
    <n v="160"/>
    <n v="7"/>
    <s v="No"/>
    <n v="3144"/>
    <x v="1"/>
    <n v="1075511.69"/>
    <n v="168275.69"/>
    <d v="2025-08-29T00:00:00"/>
    <x v="1"/>
  </r>
  <r>
    <s v="ORD00964"/>
    <d v="2025-08-28T00:00:00"/>
    <x v="0"/>
    <x v="4"/>
    <x v="2"/>
    <x v="5"/>
    <x v="2"/>
    <x v="1"/>
    <n v="447"/>
    <n v="2605"/>
    <n v="3863.1"/>
    <n v="1732"/>
    <n v="284"/>
    <n v="2"/>
    <s v="Yes"/>
    <n v="812"/>
    <x v="1"/>
    <n v="1726805.7"/>
    <n v="562370.69999999995"/>
    <d v="2025-08-28T00:00:00"/>
    <x v="1"/>
  </r>
  <r>
    <s v="ORD00965"/>
    <d v="2025-11-05T00:00:00"/>
    <x v="3"/>
    <x v="0"/>
    <x v="1"/>
    <x v="7"/>
    <x v="2"/>
    <x v="0"/>
    <n v="460"/>
    <n v="4351"/>
    <n v="5116.91"/>
    <n v="1055"/>
    <n v="168"/>
    <n v="1"/>
    <s v="No"/>
    <n v="1162"/>
    <x v="1"/>
    <n v="2353778.6"/>
    <n v="352318.6"/>
    <d v="2025-11-05T00:00:00"/>
    <x v="0"/>
  </r>
  <r>
    <s v="ORD00966"/>
    <d v="2025-02-16T00:00:00"/>
    <x v="2"/>
    <x v="4"/>
    <x v="1"/>
    <x v="7"/>
    <x v="3"/>
    <x v="0"/>
    <n v="181"/>
    <n v="1187"/>
    <n v="1398"/>
    <n v="991"/>
    <n v="234"/>
    <n v="3"/>
    <s v="Yes"/>
    <n v="6731"/>
    <x v="1"/>
    <n v="253038"/>
    <n v="38191"/>
    <d v="2025-02-16T00:00:00"/>
    <x v="5"/>
  </r>
  <r>
    <s v="ORD00967"/>
    <d v="2025-08-26T00:00:00"/>
    <x v="3"/>
    <x v="1"/>
    <x v="2"/>
    <x v="10"/>
    <x v="3"/>
    <x v="1"/>
    <n v="430"/>
    <n v="1852"/>
    <n v="2577.15"/>
    <n v="1679"/>
    <n v="281"/>
    <n v="3"/>
    <s v="Yes"/>
    <n v="2258"/>
    <x v="1"/>
    <n v="1108174.5"/>
    <n v="311814.5"/>
    <d v="2025-08-26T00:00:00"/>
    <x v="1"/>
  </r>
  <r>
    <s v="ORD00968"/>
    <d v="2025-03-13T00:00:00"/>
    <x v="3"/>
    <x v="3"/>
    <x v="2"/>
    <x v="17"/>
    <x v="0"/>
    <x v="0"/>
    <n v="280"/>
    <n v="2511"/>
    <n v="3524.16"/>
    <n v="1616"/>
    <n v="233"/>
    <n v="3"/>
    <s v="Yes"/>
    <n v="318"/>
    <x v="1"/>
    <n v="986764.80000000005"/>
    <n v="283684.8"/>
    <d v="2025-03-13T00:00:00"/>
    <x v="3"/>
  </r>
  <r>
    <s v="ORD00969"/>
    <d v="2025-01-23T00:00:00"/>
    <x v="3"/>
    <x v="4"/>
    <x v="2"/>
    <x v="10"/>
    <x v="1"/>
    <x v="1"/>
    <n v="81"/>
    <n v="2728"/>
    <n v="4016.25"/>
    <n v="1648"/>
    <n v="84"/>
    <n v="3"/>
    <s v="Yes"/>
    <n v="2134"/>
    <x v="1"/>
    <n v="325316.25"/>
    <n v="104348.25"/>
    <d v="2025-01-23T00:00:00"/>
    <x v="6"/>
  </r>
  <r>
    <s v="ORD00970"/>
    <d v="2025-11-20T00:00:00"/>
    <x v="3"/>
    <x v="1"/>
    <x v="3"/>
    <x v="6"/>
    <x v="3"/>
    <x v="0"/>
    <n v="329"/>
    <n v="628"/>
    <n v="878.19"/>
    <n v="759"/>
    <n v="140"/>
    <n v="3"/>
    <s v="Yes"/>
    <n v="3903"/>
    <x v="1"/>
    <n v="288924.51"/>
    <n v="82312.509999999995"/>
    <d v="2025-11-20T00:00:00"/>
    <x v="0"/>
  </r>
  <r>
    <s v="ORD00971"/>
    <d v="2025-02-23T00:00:00"/>
    <x v="1"/>
    <x v="2"/>
    <x v="1"/>
    <x v="1"/>
    <x v="0"/>
    <x v="0"/>
    <n v="145"/>
    <n v="4317"/>
    <n v="6331.24"/>
    <n v="640"/>
    <n v="92"/>
    <n v="3"/>
    <s v="No"/>
    <n v="3718"/>
    <x v="3"/>
    <n v="918029.8"/>
    <n v="292064.8"/>
    <d v="2025-02-23T00:00:00"/>
    <x v="5"/>
  </r>
  <r>
    <s v="ORD00972"/>
    <d v="2025-01-07T00:00:00"/>
    <x v="1"/>
    <x v="1"/>
    <x v="3"/>
    <x v="16"/>
    <x v="2"/>
    <x v="2"/>
    <n v="186"/>
    <n v="3079"/>
    <n v="4304.54"/>
    <n v="1376"/>
    <n v="103"/>
    <n v="6"/>
    <s v="No"/>
    <n v="4968"/>
    <x v="2"/>
    <n v="800644.44"/>
    <n v="227950.44"/>
    <d v="2025-01-07T00:00:00"/>
    <x v="6"/>
  </r>
  <r>
    <s v="ORD00973"/>
    <d v="2025-08-21T00:00:00"/>
    <x v="3"/>
    <x v="0"/>
    <x v="0"/>
    <x v="2"/>
    <x v="1"/>
    <x v="0"/>
    <n v="46"/>
    <n v="3586"/>
    <n v="4845.28"/>
    <n v="742"/>
    <n v="152"/>
    <n v="9"/>
    <s v="No"/>
    <n v="6855"/>
    <x v="0"/>
    <n v="222882.88"/>
    <n v="57926.879999999997"/>
    <d v="2025-08-21T00:00:00"/>
    <x v="1"/>
  </r>
  <r>
    <s v="ORD00974"/>
    <d v="2025-03-26T00:00:00"/>
    <x v="1"/>
    <x v="2"/>
    <x v="1"/>
    <x v="7"/>
    <x v="3"/>
    <x v="2"/>
    <n v="426"/>
    <n v="1333"/>
    <n v="1692.81"/>
    <n v="1324"/>
    <n v="244"/>
    <n v="9"/>
    <s v="No"/>
    <n v="7839"/>
    <x v="2"/>
    <n v="721137.06"/>
    <n v="153279.06"/>
    <d v="2025-03-26T00:00:00"/>
    <x v="3"/>
  </r>
  <r>
    <s v="ORD00975"/>
    <d v="2025-02-10T00:00:00"/>
    <x v="2"/>
    <x v="1"/>
    <x v="3"/>
    <x v="6"/>
    <x v="0"/>
    <x v="1"/>
    <n v="180"/>
    <n v="723"/>
    <n v="835.59"/>
    <n v="1139"/>
    <n v="121"/>
    <n v="9"/>
    <s v="No"/>
    <n v="3831"/>
    <x v="0"/>
    <n v="150406.20000000001"/>
    <n v="20266.2"/>
    <d v="2025-02-10T00:00:00"/>
    <x v="5"/>
  </r>
  <r>
    <s v="ORD00976"/>
    <d v="2025-06-28T00:00:00"/>
    <x v="1"/>
    <x v="3"/>
    <x v="1"/>
    <x v="11"/>
    <x v="0"/>
    <x v="2"/>
    <n v="114"/>
    <n v="3865"/>
    <n v="5372.72"/>
    <n v="1600"/>
    <n v="112"/>
    <n v="9"/>
    <s v="No"/>
    <n v="3376"/>
    <x v="2"/>
    <n v="612490.07999999996"/>
    <n v="171880.08"/>
    <d v="2025-06-28T00:00:00"/>
    <x v="7"/>
  </r>
  <r>
    <s v="ORD00977"/>
    <d v="2025-08-16T00:00:00"/>
    <x v="1"/>
    <x v="3"/>
    <x v="1"/>
    <x v="7"/>
    <x v="2"/>
    <x v="2"/>
    <n v="63"/>
    <n v="3170"/>
    <n v="3734.23"/>
    <n v="210"/>
    <n v="225"/>
    <n v="2"/>
    <s v="Yes"/>
    <n v="3814"/>
    <x v="1"/>
    <n v="235256.49"/>
    <n v="35546.49"/>
    <d v="2025-08-16T00:00:00"/>
    <x v="1"/>
  </r>
  <r>
    <s v="ORD00978"/>
    <d v="2025-09-06T00:00:00"/>
    <x v="2"/>
    <x v="1"/>
    <x v="1"/>
    <x v="12"/>
    <x v="1"/>
    <x v="0"/>
    <n v="338"/>
    <n v="399"/>
    <n v="565.77"/>
    <n v="573"/>
    <n v="151"/>
    <n v="6"/>
    <s v="No"/>
    <n v="7276"/>
    <x v="0"/>
    <n v="191230.26"/>
    <n v="56368.26"/>
    <d v="2025-09-06T00:00:00"/>
    <x v="4"/>
  </r>
  <r>
    <s v="ORD00979"/>
    <d v="2025-02-11T00:00:00"/>
    <x v="0"/>
    <x v="2"/>
    <x v="1"/>
    <x v="1"/>
    <x v="1"/>
    <x v="2"/>
    <n v="347"/>
    <n v="3450"/>
    <n v="4835.03"/>
    <n v="726"/>
    <n v="173"/>
    <n v="10"/>
    <s v="No"/>
    <n v="558"/>
    <x v="3"/>
    <n v="1677755.41"/>
    <n v="480605.41"/>
    <d v="2025-02-11T00:00:00"/>
    <x v="5"/>
  </r>
  <r>
    <s v="ORD00980"/>
    <d v="2025-11-18T00:00:00"/>
    <x v="1"/>
    <x v="3"/>
    <x v="0"/>
    <x v="4"/>
    <x v="0"/>
    <x v="1"/>
    <n v="313"/>
    <n v="267"/>
    <n v="334.36"/>
    <n v="1216"/>
    <n v="113"/>
    <n v="9"/>
    <s v="No"/>
    <n v="4898"/>
    <x v="1"/>
    <n v="104654.68"/>
    <n v="21083.68"/>
    <d v="2025-11-18T00:00:00"/>
    <x v="0"/>
  </r>
  <r>
    <s v="ORD00981"/>
    <d v="2025-03-11T00:00:00"/>
    <x v="2"/>
    <x v="0"/>
    <x v="2"/>
    <x v="13"/>
    <x v="2"/>
    <x v="1"/>
    <n v="120"/>
    <n v="703"/>
    <n v="944.62"/>
    <n v="1503"/>
    <n v="178"/>
    <n v="2"/>
    <s v="Yes"/>
    <n v="5893"/>
    <x v="1"/>
    <n v="113354.4"/>
    <n v="28994.400000000001"/>
    <d v="2025-03-11T00:00:00"/>
    <x v="3"/>
  </r>
  <r>
    <s v="ORD00982"/>
    <d v="2025-02-18T00:00:00"/>
    <x v="3"/>
    <x v="1"/>
    <x v="1"/>
    <x v="3"/>
    <x v="1"/>
    <x v="0"/>
    <n v="101"/>
    <n v="2892"/>
    <n v="3757.29"/>
    <n v="1230"/>
    <n v="163"/>
    <n v="7"/>
    <s v="No"/>
    <n v="6730"/>
    <x v="1"/>
    <n v="379486.29"/>
    <n v="87394.29"/>
    <d v="2025-02-18T00:00:00"/>
    <x v="5"/>
  </r>
  <r>
    <s v="ORD00983"/>
    <d v="2025-04-12T00:00:00"/>
    <x v="3"/>
    <x v="3"/>
    <x v="2"/>
    <x v="18"/>
    <x v="1"/>
    <x v="0"/>
    <n v="372"/>
    <n v="2332"/>
    <n v="3125"/>
    <n v="1183"/>
    <n v="209"/>
    <n v="8"/>
    <s v="No"/>
    <n v="1458"/>
    <x v="1"/>
    <n v="1162500"/>
    <n v="294996"/>
    <d v="2025-04-12T00:00:00"/>
    <x v="8"/>
  </r>
  <r>
    <s v="ORD00984"/>
    <d v="2025-07-25T00:00:00"/>
    <x v="1"/>
    <x v="3"/>
    <x v="3"/>
    <x v="16"/>
    <x v="2"/>
    <x v="1"/>
    <n v="359"/>
    <n v="1480"/>
    <n v="2101.61"/>
    <n v="837"/>
    <n v="260"/>
    <n v="4"/>
    <s v="Yes"/>
    <n v="2884"/>
    <x v="1"/>
    <n v="754477.99"/>
    <n v="223157.99"/>
    <d v="2025-07-25T00:00:00"/>
    <x v="9"/>
  </r>
  <r>
    <s v="ORD00985"/>
    <d v="2025-03-29T00:00:00"/>
    <x v="1"/>
    <x v="0"/>
    <x v="2"/>
    <x v="13"/>
    <x v="2"/>
    <x v="2"/>
    <n v="55"/>
    <n v="294"/>
    <n v="343.52"/>
    <n v="449"/>
    <n v="201"/>
    <n v="6"/>
    <s v="No"/>
    <n v="4792"/>
    <x v="3"/>
    <n v="18893.599999999999"/>
    <n v="2723.6"/>
    <d v="2025-03-29T00:00:00"/>
    <x v="3"/>
  </r>
  <r>
    <s v="ORD00986"/>
    <d v="2025-09-09T00:00:00"/>
    <x v="1"/>
    <x v="0"/>
    <x v="0"/>
    <x v="4"/>
    <x v="1"/>
    <x v="1"/>
    <n v="225"/>
    <n v="4876"/>
    <n v="6331.74"/>
    <n v="893"/>
    <n v="149"/>
    <n v="5"/>
    <s v="Yes"/>
    <n v="721"/>
    <x v="1"/>
    <n v="1424641.5"/>
    <n v="327541.5"/>
    <d v="2025-09-09T00:00:00"/>
    <x v="4"/>
  </r>
  <r>
    <s v="ORD00987"/>
    <d v="2025-08-10T00:00:00"/>
    <x v="0"/>
    <x v="1"/>
    <x v="0"/>
    <x v="2"/>
    <x v="0"/>
    <x v="2"/>
    <n v="51"/>
    <n v="2549"/>
    <n v="2981.2"/>
    <n v="1581"/>
    <n v="229"/>
    <n v="10"/>
    <s v="No"/>
    <n v="7670"/>
    <x v="2"/>
    <n v="152041.20000000001"/>
    <n v="22042.2"/>
    <d v="2025-08-10T00:00:00"/>
    <x v="1"/>
  </r>
  <r>
    <s v="ORD00988"/>
    <d v="2025-12-10T00:00:00"/>
    <x v="2"/>
    <x v="0"/>
    <x v="3"/>
    <x v="16"/>
    <x v="3"/>
    <x v="2"/>
    <n v="90"/>
    <n v="3729"/>
    <n v="4474.8599999999997"/>
    <n v="142"/>
    <n v="270"/>
    <n v="1"/>
    <s v="Yes"/>
    <n v="2042"/>
    <x v="1"/>
    <n v="402737.4"/>
    <n v="67127.399999999994"/>
    <d v="2025-12-10T00:00:00"/>
    <x v="10"/>
  </r>
  <r>
    <s v="ORD00989"/>
    <d v="2025-07-08T00:00:00"/>
    <x v="2"/>
    <x v="4"/>
    <x v="2"/>
    <x v="5"/>
    <x v="3"/>
    <x v="0"/>
    <n v="58"/>
    <n v="462"/>
    <n v="606.51"/>
    <n v="1081"/>
    <n v="282"/>
    <n v="8"/>
    <s v="No"/>
    <n v="2668"/>
    <x v="0"/>
    <n v="35177.58"/>
    <n v="8381.58"/>
    <d v="2025-07-08T00:00:00"/>
    <x v="9"/>
  </r>
  <r>
    <s v="ORD00990"/>
    <d v="2025-01-28T00:00:00"/>
    <x v="3"/>
    <x v="4"/>
    <x v="2"/>
    <x v="5"/>
    <x v="3"/>
    <x v="1"/>
    <n v="271"/>
    <n v="986"/>
    <n v="1182.6600000000001"/>
    <n v="1667"/>
    <n v="114"/>
    <n v="7"/>
    <s v="No"/>
    <n v="7901"/>
    <x v="1"/>
    <n v="320500.86"/>
    <n v="53294.86"/>
    <d v="2025-01-28T00:00:00"/>
    <x v="6"/>
  </r>
  <r>
    <s v="ORD00991"/>
    <d v="2025-04-18T00:00:00"/>
    <x v="2"/>
    <x v="3"/>
    <x v="1"/>
    <x v="7"/>
    <x v="1"/>
    <x v="1"/>
    <n v="408"/>
    <n v="1973"/>
    <n v="2314.87"/>
    <n v="963"/>
    <n v="242"/>
    <n v="6"/>
    <s v="No"/>
    <n v="4208"/>
    <x v="1"/>
    <n v="944466.96"/>
    <n v="139482.96"/>
    <d v="2025-04-18T00:00:00"/>
    <x v="8"/>
  </r>
  <r>
    <s v="ORD00992"/>
    <d v="2025-04-19T00:00:00"/>
    <x v="0"/>
    <x v="1"/>
    <x v="1"/>
    <x v="7"/>
    <x v="2"/>
    <x v="2"/>
    <n v="57"/>
    <n v="983"/>
    <n v="1273.94"/>
    <n v="229"/>
    <n v="251"/>
    <n v="6"/>
    <s v="No"/>
    <n v="4544"/>
    <x v="1"/>
    <n v="72614.58"/>
    <n v="16583.580000000002"/>
    <d v="2025-04-19T00:00:00"/>
    <x v="8"/>
  </r>
  <r>
    <s v="ORD00993"/>
    <d v="2025-08-03T00:00:00"/>
    <x v="0"/>
    <x v="0"/>
    <x v="0"/>
    <x v="2"/>
    <x v="3"/>
    <x v="1"/>
    <n v="279"/>
    <n v="2220"/>
    <n v="3249.73"/>
    <n v="1373"/>
    <n v="272"/>
    <n v="8"/>
    <s v="No"/>
    <n v="6560"/>
    <x v="1"/>
    <n v="906674.67"/>
    <n v="287294.67"/>
    <d v="2025-08-03T00:00:00"/>
    <x v="1"/>
  </r>
  <r>
    <s v="ORD00994"/>
    <d v="2025-11-07T00:00:00"/>
    <x v="2"/>
    <x v="1"/>
    <x v="1"/>
    <x v="7"/>
    <x v="3"/>
    <x v="2"/>
    <n v="308"/>
    <n v="3005"/>
    <n v="3581.08"/>
    <n v="134"/>
    <n v="234"/>
    <n v="8"/>
    <s v="No"/>
    <n v="3747"/>
    <x v="0"/>
    <n v="1102972.6399999999"/>
    <n v="177432.64"/>
    <d v="2025-11-07T00:00:00"/>
    <x v="0"/>
  </r>
  <r>
    <s v="ORD00995"/>
    <d v="2025-08-27T00:00:00"/>
    <x v="3"/>
    <x v="3"/>
    <x v="2"/>
    <x v="13"/>
    <x v="3"/>
    <x v="1"/>
    <n v="29"/>
    <n v="3810"/>
    <n v="4415.49"/>
    <n v="1574"/>
    <n v="161"/>
    <n v="7"/>
    <s v="No"/>
    <n v="1165"/>
    <x v="3"/>
    <n v="128049.21"/>
    <n v="17559.21"/>
    <d v="2025-08-27T00:00:00"/>
    <x v="1"/>
  </r>
  <r>
    <s v="ORD00996"/>
    <d v="2025-03-26T00:00:00"/>
    <x v="0"/>
    <x v="4"/>
    <x v="1"/>
    <x v="7"/>
    <x v="1"/>
    <x v="0"/>
    <n v="472"/>
    <n v="2767"/>
    <n v="3796.73"/>
    <n v="1663"/>
    <n v="220"/>
    <n v="8"/>
    <s v="No"/>
    <n v="777"/>
    <x v="3"/>
    <n v="1792056.56"/>
    <n v="486032.56"/>
    <d v="2025-03-26T00:00:00"/>
    <x v="3"/>
  </r>
  <r>
    <s v="ORD00997"/>
    <d v="2025-12-30T00:00:00"/>
    <x v="2"/>
    <x v="1"/>
    <x v="1"/>
    <x v="7"/>
    <x v="2"/>
    <x v="0"/>
    <n v="198"/>
    <n v="825"/>
    <n v="1235.48"/>
    <n v="424"/>
    <n v="85"/>
    <n v="1"/>
    <s v="Yes"/>
    <n v="688"/>
    <x v="1"/>
    <n v="244625.04"/>
    <n v="81275.039999999994"/>
    <d v="2025-12-30T00:00:00"/>
    <x v="10"/>
  </r>
  <r>
    <s v="ORD00998"/>
    <d v="2025-09-14T00:00:00"/>
    <x v="1"/>
    <x v="3"/>
    <x v="0"/>
    <x v="8"/>
    <x v="1"/>
    <x v="2"/>
    <n v="52"/>
    <n v="4870"/>
    <n v="6251.3"/>
    <n v="1404"/>
    <n v="261"/>
    <n v="7"/>
    <s v="No"/>
    <n v="1386"/>
    <x v="0"/>
    <n v="325067.59999999998"/>
    <n v="71827.600000000006"/>
    <d v="2025-09-14T00:00:00"/>
    <x v="4"/>
  </r>
  <r>
    <s v="ORD00999"/>
    <d v="2025-12-20T00:00:00"/>
    <x v="3"/>
    <x v="3"/>
    <x v="3"/>
    <x v="9"/>
    <x v="2"/>
    <x v="0"/>
    <n v="463"/>
    <n v="4775"/>
    <n v="5572.17"/>
    <n v="909"/>
    <n v="118"/>
    <n v="9"/>
    <s v="No"/>
    <n v="7497"/>
    <x v="3"/>
    <n v="2579914.71"/>
    <n v="369089.71"/>
    <d v="2025-12-20T00:00:00"/>
    <x v="10"/>
  </r>
  <r>
    <s v="ORD01000"/>
    <d v="2025-06-27T00:00:00"/>
    <x v="2"/>
    <x v="4"/>
    <x v="3"/>
    <x v="16"/>
    <x v="2"/>
    <x v="0"/>
    <n v="174"/>
    <n v="4947"/>
    <n v="7251.57"/>
    <n v="558"/>
    <n v="158"/>
    <n v="8"/>
    <s v="No"/>
    <n v="4766"/>
    <x v="3"/>
    <n v="1261773.18"/>
    <n v="400995.18"/>
    <d v="2025-06-27T00:00:00"/>
    <x v="7"/>
  </r>
  <r>
    <s v="ORD01001"/>
    <d v="2025-11-18T00:00:00"/>
    <x v="2"/>
    <x v="2"/>
    <x v="1"/>
    <x v="7"/>
    <x v="3"/>
    <x v="1"/>
    <n v="474"/>
    <n v="4294"/>
    <n v="6417.06"/>
    <n v="970"/>
    <n v="144"/>
    <n v="1"/>
    <s v="Yes"/>
    <n v="846"/>
    <x v="1"/>
    <n v="3041686.44"/>
    <n v="1006330.44"/>
    <d v="2025-11-18T00:00:00"/>
    <x v="0"/>
  </r>
  <r>
    <s v="ORD01002"/>
    <d v="2025-05-18T00:00:00"/>
    <x v="0"/>
    <x v="4"/>
    <x v="2"/>
    <x v="13"/>
    <x v="3"/>
    <x v="2"/>
    <n v="65"/>
    <n v="3909"/>
    <n v="4678.3999999999996"/>
    <n v="1674"/>
    <n v="207"/>
    <n v="1"/>
    <s v="Yes"/>
    <n v="7934"/>
    <x v="1"/>
    <n v="304096"/>
    <n v="50011"/>
    <d v="2025-05-18T00:00:00"/>
    <x v="2"/>
  </r>
  <r>
    <s v="ORD01003"/>
    <d v="2025-03-18T00:00:00"/>
    <x v="0"/>
    <x v="2"/>
    <x v="3"/>
    <x v="6"/>
    <x v="0"/>
    <x v="0"/>
    <n v="346"/>
    <n v="4885"/>
    <n v="6921.33"/>
    <n v="201"/>
    <n v="202"/>
    <n v="5"/>
    <s v="Yes"/>
    <n v="2963"/>
    <x v="1"/>
    <n v="2394780.1800000002"/>
    <n v="704570.18"/>
    <d v="2025-03-18T00:00:00"/>
    <x v="3"/>
  </r>
  <r>
    <s v="ORD01004"/>
    <d v="2025-10-05T00:00:00"/>
    <x v="0"/>
    <x v="1"/>
    <x v="3"/>
    <x v="14"/>
    <x v="0"/>
    <x v="1"/>
    <n v="15"/>
    <n v="501"/>
    <n v="579.86"/>
    <n v="451"/>
    <n v="264"/>
    <n v="2"/>
    <s v="Yes"/>
    <n v="7370"/>
    <x v="1"/>
    <n v="8697.9"/>
    <n v="1182.9000000000001"/>
    <d v="2025-10-05T00:00:00"/>
    <x v="11"/>
  </r>
  <r>
    <s v="ORD01005"/>
    <d v="2025-12-01T00:00:00"/>
    <x v="1"/>
    <x v="2"/>
    <x v="2"/>
    <x v="13"/>
    <x v="0"/>
    <x v="1"/>
    <n v="38"/>
    <n v="2834"/>
    <n v="3754.67"/>
    <n v="987"/>
    <n v="241"/>
    <n v="7"/>
    <s v="No"/>
    <n v="7787"/>
    <x v="2"/>
    <n v="142677.46"/>
    <n v="34985.46"/>
    <d v="2025-12-01T00:00:00"/>
    <x v="10"/>
  </r>
  <r>
    <s v="ORD01006"/>
    <d v="2025-08-22T00:00:00"/>
    <x v="0"/>
    <x v="3"/>
    <x v="0"/>
    <x v="4"/>
    <x v="0"/>
    <x v="1"/>
    <n v="483"/>
    <n v="2514"/>
    <n v="2902.76"/>
    <n v="1871"/>
    <n v="226"/>
    <n v="3"/>
    <s v="Yes"/>
    <n v="4315"/>
    <x v="1"/>
    <n v="1402033.08"/>
    <n v="187771.08"/>
    <d v="2025-08-22T00:00:00"/>
    <x v="1"/>
  </r>
  <r>
    <s v="ORD01007"/>
    <d v="2025-03-21T00:00:00"/>
    <x v="3"/>
    <x v="1"/>
    <x v="0"/>
    <x v="8"/>
    <x v="2"/>
    <x v="2"/>
    <n v="41"/>
    <n v="3314"/>
    <n v="4130.1400000000003"/>
    <n v="392"/>
    <n v="230"/>
    <n v="3"/>
    <s v="Yes"/>
    <n v="2895"/>
    <x v="1"/>
    <n v="169335.74"/>
    <n v="33461.74"/>
    <d v="2025-03-21T00:00:00"/>
    <x v="3"/>
  </r>
  <r>
    <s v="ORD01008"/>
    <d v="2025-05-15T00:00:00"/>
    <x v="0"/>
    <x v="2"/>
    <x v="2"/>
    <x v="5"/>
    <x v="3"/>
    <x v="0"/>
    <n v="288"/>
    <n v="293"/>
    <n v="367.1"/>
    <n v="753"/>
    <n v="135"/>
    <n v="5"/>
    <s v="Yes"/>
    <n v="7264"/>
    <x v="1"/>
    <n v="105724.8"/>
    <n v="21340.799999999999"/>
    <d v="2025-05-15T00:00:00"/>
    <x v="2"/>
  </r>
  <r>
    <s v="ORD01009"/>
    <d v="2025-09-01T00:00:00"/>
    <x v="1"/>
    <x v="1"/>
    <x v="1"/>
    <x v="7"/>
    <x v="2"/>
    <x v="1"/>
    <n v="196"/>
    <n v="4820"/>
    <n v="6718.29"/>
    <n v="1922"/>
    <n v="238"/>
    <n v="6"/>
    <s v="No"/>
    <n v="5269"/>
    <x v="3"/>
    <n v="1316784.8400000001"/>
    <n v="372064.84"/>
    <d v="2025-09-01T00:00:00"/>
    <x v="4"/>
  </r>
  <r>
    <s v="ORD01010"/>
    <d v="2025-12-11T00:00:00"/>
    <x v="0"/>
    <x v="4"/>
    <x v="2"/>
    <x v="10"/>
    <x v="0"/>
    <x v="0"/>
    <n v="324"/>
    <n v="3556"/>
    <n v="5235.5600000000004"/>
    <n v="1787"/>
    <n v="276"/>
    <n v="8"/>
    <s v="No"/>
    <n v="7509"/>
    <x v="3"/>
    <n v="1696321.44"/>
    <n v="544177.43999999994"/>
    <d v="2025-12-11T00:00:00"/>
    <x v="10"/>
  </r>
  <r>
    <s v="ORD01011"/>
    <d v="2025-07-13T00:00:00"/>
    <x v="1"/>
    <x v="4"/>
    <x v="2"/>
    <x v="10"/>
    <x v="2"/>
    <x v="2"/>
    <n v="147"/>
    <n v="4945"/>
    <n v="6247.42"/>
    <n v="722"/>
    <n v="285"/>
    <n v="10"/>
    <s v="No"/>
    <n v="681"/>
    <x v="1"/>
    <n v="918370.74"/>
    <n v="191455.74"/>
    <d v="2025-07-13T00:00:00"/>
    <x v="9"/>
  </r>
  <r>
    <s v="ORD01012"/>
    <d v="2025-01-11T00:00:00"/>
    <x v="2"/>
    <x v="4"/>
    <x v="1"/>
    <x v="1"/>
    <x v="0"/>
    <x v="1"/>
    <n v="103"/>
    <n v="816"/>
    <n v="1111.0999999999999"/>
    <n v="1283"/>
    <n v="91"/>
    <n v="5"/>
    <s v="Yes"/>
    <n v="7986"/>
    <x v="1"/>
    <n v="114443.3"/>
    <n v="30395.3"/>
    <d v="2025-01-11T00:00:00"/>
    <x v="6"/>
  </r>
  <r>
    <s v="ORD01013"/>
    <d v="2025-06-04T00:00:00"/>
    <x v="3"/>
    <x v="2"/>
    <x v="3"/>
    <x v="16"/>
    <x v="1"/>
    <x v="2"/>
    <n v="265"/>
    <n v="1425"/>
    <n v="1662.15"/>
    <n v="804"/>
    <n v="194"/>
    <n v="1"/>
    <s v="Yes"/>
    <n v="7711"/>
    <x v="1"/>
    <n v="440469.75"/>
    <n v="62844.75"/>
    <d v="2025-06-04T00:00:00"/>
    <x v="7"/>
  </r>
  <r>
    <s v="ORD01014"/>
    <d v="2025-12-13T00:00:00"/>
    <x v="2"/>
    <x v="4"/>
    <x v="3"/>
    <x v="6"/>
    <x v="3"/>
    <x v="1"/>
    <n v="273"/>
    <n v="164"/>
    <n v="191.15"/>
    <n v="973"/>
    <n v="155"/>
    <n v="9"/>
    <s v="No"/>
    <n v="5500"/>
    <x v="1"/>
    <n v="52183.95"/>
    <n v="7411.95"/>
    <d v="2025-12-13T00:00:00"/>
    <x v="10"/>
  </r>
  <r>
    <s v="ORD01015"/>
    <d v="2025-04-20T00:00:00"/>
    <x v="3"/>
    <x v="2"/>
    <x v="1"/>
    <x v="12"/>
    <x v="1"/>
    <x v="2"/>
    <n v="206"/>
    <n v="3455"/>
    <n v="4669.4799999999996"/>
    <n v="1077"/>
    <n v="120"/>
    <n v="2"/>
    <s v="No"/>
    <n v="764"/>
    <x v="2"/>
    <n v="961912.88"/>
    <n v="250182.88"/>
    <d v="2025-04-20T00:00:00"/>
    <x v="8"/>
  </r>
  <r>
    <s v="ORD01016"/>
    <d v="2025-04-04T00:00:00"/>
    <x v="0"/>
    <x v="4"/>
    <x v="2"/>
    <x v="18"/>
    <x v="0"/>
    <x v="2"/>
    <n v="83"/>
    <n v="1682"/>
    <n v="2097.6"/>
    <n v="1182"/>
    <n v="196"/>
    <n v="1"/>
    <s v="Yes"/>
    <n v="1665"/>
    <x v="1"/>
    <n v="174100.8"/>
    <n v="34494.800000000003"/>
    <d v="2025-04-04T00:00:00"/>
    <x v="8"/>
  </r>
  <r>
    <s v="ORD01017"/>
    <d v="2025-01-01T00:00:00"/>
    <x v="3"/>
    <x v="0"/>
    <x v="3"/>
    <x v="16"/>
    <x v="2"/>
    <x v="1"/>
    <n v="311"/>
    <n v="3714"/>
    <n v="4793.75"/>
    <n v="1049"/>
    <n v="173"/>
    <n v="10"/>
    <s v="No"/>
    <n v="2390"/>
    <x v="3"/>
    <n v="1490856.25"/>
    <n v="335802.25"/>
    <d v="2025-01-01T00:00:00"/>
    <x v="6"/>
  </r>
  <r>
    <s v="ORD01018"/>
    <d v="2025-08-09T00:00:00"/>
    <x v="0"/>
    <x v="4"/>
    <x v="3"/>
    <x v="6"/>
    <x v="1"/>
    <x v="0"/>
    <n v="425"/>
    <n v="4966"/>
    <n v="6583.04"/>
    <n v="1801"/>
    <n v="144"/>
    <n v="8"/>
    <s v="No"/>
    <n v="6287"/>
    <x v="1"/>
    <n v="2797792"/>
    <n v="687242"/>
    <d v="2025-08-09T00:00:00"/>
    <x v="1"/>
  </r>
  <r>
    <s v="ORD01019"/>
    <d v="2025-08-29T00:00:00"/>
    <x v="2"/>
    <x v="2"/>
    <x v="1"/>
    <x v="11"/>
    <x v="1"/>
    <x v="0"/>
    <n v="327"/>
    <n v="1670"/>
    <n v="2111"/>
    <n v="1991"/>
    <n v="114"/>
    <n v="1"/>
    <s v="Yes"/>
    <n v="2291"/>
    <x v="1"/>
    <n v="690297"/>
    <n v="144207"/>
    <d v="2025-08-29T00:00:00"/>
    <x v="1"/>
  </r>
  <r>
    <s v="ORD01020"/>
    <d v="2025-12-12T00:00:00"/>
    <x v="1"/>
    <x v="0"/>
    <x v="1"/>
    <x v="12"/>
    <x v="2"/>
    <x v="0"/>
    <n v="358"/>
    <n v="3113"/>
    <n v="4448.3900000000003"/>
    <n v="1539"/>
    <n v="256"/>
    <n v="6"/>
    <s v="No"/>
    <n v="518"/>
    <x v="1"/>
    <n v="1592523.62"/>
    <n v="478069.62"/>
    <d v="2025-12-12T00:00:00"/>
    <x v="10"/>
  </r>
  <r>
    <s v="ORD01021"/>
    <d v="2025-09-24T00:00:00"/>
    <x v="3"/>
    <x v="0"/>
    <x v="3"/>
    <x v="14"/>
    <x v="1"/>
    <x v="0"/>
    <n v="444"/>
    <n v="4287"/>
    <n v="5843.02"/>
    <n v="1069"/>
    <n v="80"/>
    <n v="6"/>
    <s v="No"/>
    <n v="2764"/>
    <x v="2"/>
    <n v="2594300.88"/>
    <n v="690872.88"/>
    <d v="2025-09-24T00:00:00"/>
    <x v="4"/>
  </r>
  <r>
    <s v="ORD01022"/>
    <d v="2025-11-04T00:00:00"/>
    <x v="0"/>
    <x v="0"/>
    <x v="0"/>
    <x v="4"/>
    <x v="0"/>
    <x v="1"/>
    <n v="110"/>
    <n v="2738"/>
    <n v="3638.6"/>
    <n v="545"/>
    <n v="288"/>
    <n v="5"/>
    <s v="Yes"/>
    <n v="6850"/>
    <x v="1"/>
    <n v="400246"/>
    <n v="99066"/>
    <d v="2025-11-04T00:00:00"/>
    <x v="0"/>
  </r>
  <r>
    <s v="ORD01023"/>
    <d v="2025-06-13T00:00:00"/>
    <x v="3"/>
    <x v="4"/>
    <x v="2"/>
    <x v="13"/>
    <x v="3"/>
    <x v="1"/>
    <n v="376"/>
    <n v="4215"/>
    <n v="5707.19"/>
    <n v="993"/>
    <n v="218"/>
    <n v="7"/>
    <s v="No"/>
    <n v="6848"/>
    <x v="3"/>
    <n v="2145903.44"/>
    <n v="561063.43999999994"/>
    <d v="2025-06-13T00:00:00"/>
    <x v="7"/>
  </r>
  <r>
    <s v="ORD01024"/>
    <d v="2025-08-12T00:00:00"/>
    <x v="3"/>
    <x v="1"/>
    <x v="2"/>
    <x v="5"/>
    <x v="2"/>
    <x v="1"/>
    <n v="36"/>
    <n v="2114"/>
    <n v="2909.23"/>
    <n v="1244"/>
    <n v="258"/>
    <n v="7"/>
    <s v="No"/>
    <n v="6185"/>
    <x v="2"/>
    <n v="104732.28"/>
    <n v="28628.28"/>
    <d v="2025-08-12T00:00:00"/>
    <x v="1"/>
  </r>
  <r>
    <s v="ORD01025"/>
    <d v="2025-05-08T00:00:00"/>
    <x v="2"/>
    <x v="4"/>
    <x v="3"/>
    <x v="9"/>
    <x v="1"/>
    <x v="1"/>
    <n v="148"/>
    <n v="1431"/>
    <n v="2093.46"/>
    <n v="604"/>
    <n v="156"/>
    <n v="7"/>
    <s v="No"/>
    <n v="3418"/>
    <x v="1"/>
    <n v="309832.08"/>
    <n v="98044.08"/>
    <d v="2025-05-08T00:00:00"/>
    <x v="2"/>
  </r>
  <r>
    <s v="ORD01026"/>
    <d v="2025-09-15T00:00:00"/>
    <x v="0"/>
    <x v="4"/>
    <x v="3"/>
    <x v="15"/>
    <x v="1"/>
    <x v="1"/>
    <n v="441"/>
    <n v="2529"/>
    <n v="3660.34"/>
    <n v="326"/>
    <n v="295"/>
    <n v="10"/>
    <s v="No"/>
    <n v="2751"/>
    <x v="1"/>
    <n v="1614209.94"/>
    <n v="498920.94"/>
    <d v="2025-09-15T00:00:00"/>
    <x v="4"/>
  </r>
  <r>
    <s v="ORD01027"/>
    <d v="2025-07-07T00:00:00"/>
    <x v="0"/>
    <x v="0"/>
    <x v="0"/>
    <x v="2"/>
    <x v="2"/>
    <x v="0"/>
    <n v="430"/>
    <n v="4650"/>
    <n v="5466.11"/>
    <n v="1884"/>
    <n v="191"/>
    <n v="6"/>
    <s v="No"/>
    <n v="551"/>
    <x v="3"/>
    <n v="2350427.2999999998"/>
    <n v="350927.3"/>
    <d v="2025-07-07T00:00:00"/>
    <x v="9"/>
  </r>
  <r>
    <s v="ORD01028"/>
    <d v="2025-03-02T00:00:00"/>
    <x v="0"/>
    <x v="4"/>
    <x v="2"/>
    <x v="18"/>
    <x v="3"/>
    <x v="1"/>
    <n v="12"/>
    <n v="2645"/>
    <n v="3305.57"/>
    <n v="1257"/>
    <n v="189"/>
    <n v="9"/>
    <s v="No"/>
    <n v="1857"/>
    <x v="3"/>
    <n v="39666.839999999997"/>
    <n v="7926.84"/>
    <d v="2025-03-02T00:00:00"/>
    <x v="3"/>
  </r>
  <r>
    <s v="ORD01029"/>
    <d v="2025-02-21T00:00:00"/>
    <x v="2"/>
    <x v="0"/>
    <x v="2"/>
    <x v="10"/>
    <x v="1"/>
    <x v="0"/>
    <n v="149"/>
    <n v="3309"/>
    <n v="3887.74"/>
    <n v="278"/>
    <n v="296"/>
    <n v="3"/>
    <s v="Yes"/>
    <n v="3196"/>
    <x v="1"/>
    <n v="579273.26"/>
    <n v="86232.26"/>
    <d v="2025-02-21T00:00:00"/>
    <x v="5"/>
  </r>
  <r>
    <s v="ORD01030"/>
    <d v="2025-09-15T00:00:00"/>
    <x v="3"/>
    <x v="2"/>
    <x v="1"/>
    <x v="7"/>
    <x v="0"/>
    <x v="0"/>
    <n v="48"/>
    <n v="2076"/>
    <n v="3102.91"/>
    <n v="329"/>
    <n v="266"/>
    <n v="7"/>
    <s v="No"/>
    <n v="841"/>
    <x v="2"/>
    <n v="148939.68"/>
    <n v="49291.68"/>
    <d v="2025-09-15T00:00:00"/>
    <x v="4"/>
  </r>
  <r>
    <s v="ORD01031"/>
    <d v="2025-03-20T00:00:00"/>
    <x v="0"/>
    <x v="4"/>
    <x v="3"/>
    <x v="14"/>
    <x v="2"/>
    <x v="2"/>
    <n v="44"/>
    <n v="4615"/>
    <n v="6676.23"/>
    <n v="1073"/>
    <n v="175"/>
    <n v="9"/>
    <s v="No"/>
    <n v="7877"/>
    <x v="1"/>
    <n v="293754.12"/>
    <n v="90694.12"/>
    <d v="2025-03-20T00:00:00"/>
    <x v="3"/>
  </r>
  <r>
    <s v="ORD01032"/>
    <d v="2025-07-20T00:00:00"/>
    <x v="2"/>
    <x v="0"/>
    <x v="2"/>
    <x v="5"/>
    <x v="2"/>
    <x v="0"/>
    <n v="186"/>
    <n v="833"/>
    <n v="1067.51"/>
    <n v="724"/>
    <n v="168"/>
    <n v="9"/>
    <s v="No"/>
    <n v="4441"/>
    <x v="3"/>
    <n v="198556.86"/>
    <n v="43618.86"/>
    <d v="2025-07-20T00:00:00"/>
    <x v="9"/>
  </r>
  <r>
    <s v="ORD01033"/>
    <d v="2025-08-22T00:00:00"/>
    <x v="1"/>
    <x v="2"/>
    <x v="1"/>
    <x v="12"/>
    <x v="0"/>
    <x v="1"/>
    <n v="82"/>
    <n v="2221"/>
    <n v="2858.25"/>
    <n v="551"/>
    <n v="300"/>
    <n v="2"/>
    <s v="Yes"/>
    <n v="6135"/>
    <x v="1"/>
    <n v="234376.5"/>
    <n v="52254.5"/>
    <d v="2025-08-22T00:00:00"/>
    <x v="1"/>
  </r>
  <r>
    <s v="ORD01034"/>
    <d v="2025-01-25T00:00:00"/>
    <x v="0"/>
    <x v="4"/>
    <x v="3"/>
    <x v="15"/>
    <x v="3"/>
    <x v="2"/>
    <n v="116"/>
    <n v="1405"/>
    <n v="1929.95"/>
    <n v="1364"/>
    <n v="183"/>
    <n v="6"/>
    <s v="No"/>
    <n v="1073"/>
    <x v="2"/>
    <n v="223874.2"/>
    <n v="60894.2"/>
    <d v="2025-01-25T00:00:00"/>
    <x v="6"/>
  </r>
  <r>
    <s v="ORD01035"/>
    <d v="2025-03-03T00:00:00"/>
    <x v="0"/>
    <x v="1"/>
    <x v="3"/>
    <x v="14"/>
    <x v="2"/>
    <x v="0"/>
    <n v="324"/>
    <n v="3276"/>
    <n v="3991.01"/>
    <n v="534"/>
    <n v="112"/>
    <n v="1"/>
    <s v="No"/>
    <n v="4767"/>
    <x v="1"/>
    <n v="1293087.24"/>
    <n v="231663.24"/>
    <d v="2025-03-03T00:00:00"/>
    <x v="3"/>
  </r>
  <r>
    <s v="ORD01036"/>
    <d v="2025-06-03T00:00:00"/>
    <x v="3"/>
    <x v="2"/>
    <x v="2"/>
    <x v="13"/>
    <x v="1"/>
    <x v="2"/>
    <n v="497"/>
    <n v="3560"/>
    <n v="5289.59"/>
    <n v="1297"/>
    <n v="267"/>
    <n v="6"/>
    <s v="No"/>
    <n v="1474"/>
    <x v="1"/>
    <n v="2628926.23"/>
    <n v="859606.23"/>
    <d v="2025-06-03T00:00:00"/>
    <x v="7"/>
  </r>
  <r>
    <s v="ORD01037"/>
    <d v="2025-09-09T00:00:00"/>
    <x v="2"/>
    <x v="4"/>
    <x v="0"/>
    <x v="0"/>
    <x v="2"/>
    <x v="0"/>
    <n v="166"/>
    <n v="954"/>
    <n v="1118.8800000000001"/>
    <n v="479"/>
    <n v="162"/>
    <n v="8"/>
    <s v="No"/>
    <n v="5734"/>
    <x v="3"/>
    <n v="185734.08"/>
    <n v="27370.080000000002"/>
    <d v="2025-09-09T00:00:00"/>
    <x v="4"/>
  </r>
  <r>
    <s v="ORD01038"/>
    <d v="2025-02-02T00:00:00"/>
    <x v="3"/>
    <x v="3"/>
    <x v="3"/>
    <x v="14"/>
    <x v="2"/>
    <x v="1"/>
    <n v="35"/>
    <n v="3143"/>
    <n v="4170.96"/>
    <n v="1056"/>
    <n v="196"/>
    <n v="7"/>
    <s v="No"/>
    <n v="1592"/>
    <x v="3"/>
    <n v="145983.6"/>
    <n v="35978.6"/>
    <d v="2025-02-02T00:00:00"/>
    <x v="5"/>
  </r>
  <r>
    <s v="ORD01039"/>
    <d v="2025-04-10T00:00:00"/>
    <x v="0"/>
    <x v="1"/>
    <x v="0"/>
    <x v="8"/>
    <x v="1"/>
    <x v="0"/>
    <n v="13"/>
    <n v="3760"/>
    <n v="4617.68"/>
    <n v="208"/>
    <n v="235"/>
    <n v="10"/>
    <s v="No"/>
    <n v="857"/>
    <x v="0"/>
    <n v="60029.84"/>
    <n v="11149.84"/>
    <d v="2025-04-10T00:00:00"/>
    <x v="8"/>
  </r>
  <r>
    <s v="ORD01040"/>
    <d v="2025-09-17T00:00:00"/>
    <x v="1"/>
    <x v="4"/>
    <x v="1"/>
    <x v="12"/>
    <x v="2"/>
    <x v="0"/>
    <n v="341"/>
    <n v="946"/>
    <n v="1273.7"/>
    <n v="1188"/>
    <n v="200"/>
    <n v="3"/>
    <s v="Yes"/>
    <n v="3744"/>
    <x v="1"/>
    <n v="434331.7"/>
    <n v="111745.7"/>
    <d v="2025-09-17T00:00:00"/>
    <x v="4"/>
  </r>
  <r>
    <s v="ORD01041"/>
    <d v="2025-09-17T00:00:00"/>
    <x v="0"/>
    <x v="0"/>
    <x v="2"/>
    <x v="13"/>
    <x v="1"/>
    <x v="0"/>
    <n v="200"/>
    <n v="1017"/>
    <n v="1494.56"/>
    <n v="1503"/>
    <n v="196"/>
    <n v="7"/>
    <s v="No"/>
    <n v="5709"/>
    <x v="0"/>
    <n v="298912"/>
    <n v="95512"/>
    <d v="2025-09-17T00:00:00"/>
    <x v="4"/>
  </r>
  <r>
    <s v="ORD01042"/>
    <d v="2025-09-22T00:00:00"/>
    <x v="1"/>
    <x v="0"/>
    <x v="3"/>
    <x v="6"/>
    <x v="0"/>
    <x v="2"/>
    <n v="153"/>
    <n v="1532"/>
    <n v="2217.66"/>
    <n v="172"/>
    <n v="264"/>
    <n v="4"/>
    <s v="Yes"/>
    <n v="673"/>
    <x v="1"/>
    <n v="339301.98"/>
    <n v="104905.98"/>
    <d v="2025-09-22T00:00:00"/>
    <x v="4"/>
  </r>
  <r>
    <s v="ORD01043"/>
    <d v="2025-03-15T00:00:00"/>
    <x v="1"/>
    <x v="2"/>
    <x v="3"/>
    <x v="9"/>
    <x v="3"/>
    <x v="0"/>
    <n v="252"/>
    <n v="1437"/>
    <n v="2111.16"/>
    <n v="1316"/>
    <n v="89"/>
    <n v="7"/>
    <s v="No"/>
    <n v="1175"/>
    <x v="3"/>
    <n v="532012.31999999995"/>
    <n v="169888.32"/>
    <d v="2025-03-15T00:00:00"/>
    <x v="3"/>
  </r>
  <r>
    <s v="ORD01044"/>
    <d v="2025-05-02T00:00:00"/>
    <x v="0"/>
    <x v="1"/>
    <x v="0"/>
    <x v="19"/>
    <x v="2"/>
    <x v="0"/>
    <n v="351"/>
    <n v="4821"/>
    <n v="6618.03"/>
    <n v="926"/>
    <n v="261"/>
    <n v="2"/>
    <s v="Yes"/>
    <n v="593"/>
    <x v="0"/>
    <n v="2322928.5299999998"/>
    <n v="630757.53"/>
    <d v="2025-05-02T00:00:00"/>
    <x v="2"/>
  </r>
  <r>
    <s v="ORD01045"/>
    <d v="2025-11-02T00:00:00"/>
    <x v="3"/>
    <x v="3"/>
    <x v="2"/>
    <x v="13"/>
    <x v="1"/>
    <x v="1"/>
    <n v="104"/>
    <n v="4504"/>
    <n v="5335.78"/>
    <n v="1050"/>
    <n v="90"/>
    <n v="2"/>
    <s v="Yes"/>
    <n v="5785"/>
    <x v="0"/>
    <n v="554921.12"/>
    <n v="86505.12"/>
    <d v="2025-11-02T00:00:00"/>
    <x v="0"/>
  </r>
  <r>
    <s v="ORD01046"/>
    <d v="2025-07-24T00:00:00"/>
    <x v="1"/>
    <x v="1"/>
    <x v="3"/>
    <x v="15"/>
    <x v="2"/>
    <x v="1"/>
    <n v="176"/>
    <n v="2100"/>
    <n v="3037.17"/>
    <n v="339"/>
    <n v="259"/>
    <n v="7"/>
    <s v="No"/>
    <n v="5037"/>
    <x v="2"/>
    <n v="534541.92000000004"/>
    <n v="164941.92000000001"/>
    <d v="2025-07-24T00:00:00"/>
    <x v="9"/>
  </r>
  <r>
    <s v="ORD01047"/>
    <d v="2025-03-29T00:00:00"/>
    <x v="0"/>
    <x v="1"/>
    <x v="1"/>
    <x v="3"/>
    <x v="0"/>
    <x v="0"/>
    <n v="103"/>
    <n v="4648"/>
    <n v="5900.5"/>
    <n v="1463"/>
    <n v="279"/>
    <n v="7"/>
    <s v="No"/>
    <n v="4311"/>
    <x v="3"/>
    <n v="607751.5"/>
    <n v="129007.5"/>
    <d v="2025-03-29T00:00:00"/>
    <x v="3"/>
  </r>
  <r>
    <s v="ORD01048"/>
    <d v="2025-04-01T00:00:00"/>
    <x v="1"/>
    <x v="1"/>
    <x v="1"/>
    <x v="7"/>
    <x v="0"/>
    <x v="0"/>
    <n v="467"/>
    <n v="923"/>
    <n v="1256.67"/>
    <n v="232"/>
    <n v="228"/>
    <n v="4"/>
    <s v="Yes"/>
    <n v="3674"/>
    <x v="1"/>
    <n v="586864.89"/>
    <n v="155823.89000000001"/>
    <d v="2025-04-01T00:00:00"/>
    <x v="8"/>
  </r>
  <r>
    <s v="ORD01049"/>
    <d v="2025-09-08T00:00:00"/>
    <x v="0"/>
    <x v="0"/>
    <x v="1"/>
    <x v="12"/>
    <x v="3"/>
    <x v="0"/>
    <n v="46"/>
    <n v="240"/>
    <n v="339.52"/>
    <n v="56"/>
    <n v="163"/>
    <n v="1"/>
    <s v="Yes"/>
    <n v="4912"/>
    <x v="1"/>
    <n v="15617.92"/>
    <n v="4577.92"/>
    <d v="2025-09-08T00:00:00"/>
    <x v="4"/>
  </r>
  <r>
    <s v="ORD01050"/>
    <d v="2025-08-04T00:00:00"/>
    <x v="3"/>
    <x v="0"/>
    <x v="1"/>
    <x v="11"/>
    <x v="0"/>
    <x v="2"/>
    <n v="416"/>
    <n v="1514"/>
    <n v="1765.57"/>
    <n v="1759"/>
    <n v="153"/>
    <n v="7"/>
    <s v="No"/>
    <n v="3401"/>
    <x v="3"/>
    <n v="734477.12"/>
    <n v="104653.12"/>
    <d v="2025-08-04T00:00:00"/>
    <x v="1"/>
  </r>
  <r>
    <s v="ORD01051"/>
    <d v="2025-02-10T00:00:00"/>
    <x v="2"/>
    <x v="0"/>
    <x v="2"/>
    <x v="10"/>
    <x v="1"/>
    <x v="1"/>
    <n v="309"/>
    <n v="907"/>
    <n v="1342.67"/>
    <n v="1764"/>
    <n v="107"/>
    <n v="3"/>
    <s v="Yes"/>
    <n v="532"/>
    <x v="1"/>
    <n v="414885.03"/>
    <n v="134622.03"/>
    <d v="2025-02-10T00:00:00"/>
    <x v="5"/>
  </r>
  <r>
    <s v="ORD01052"/>
    <d v="2025-06-15T00:00:00"/>
    <x v="2"/>
    <x v="0"/>
    <x v="1"/>
    <x v="12"/>
    <x v="1"/>
    <x v="1"/>
    <n v="244"/>
    <n v="3320"/>
    <n v="4529.41"/>
    <n v="466"/>
    <n v="240"/>
    <n v="10"/>
    <s v="No"/>
    <n v="1659"/>
    <x v="0"/>
    <n v="1105176.04"/>
    <n v="295096.03999999998"/>
    <d v="2025-06-15T00:00:00"/>
    <x v="7"/>
  </r>
  <r>
    <s v="ORD01053"/>
    <d v="2025-08-14T00:00:00"/>
    <x v="1"/>
    <x v="3"/>
    <x v="2"/>
    <x v="5"/>
    <x v="0"/>
    <x v="0"/>
    <n v="324"/>
    <n v="5000"/>
    <n v="6852.45"/>
    <n v="1098"/>
    <n v="175"/>
    <n v="7"/>
    <s v="No"/>
    <n v="2697"/>
    <x v="2"/>
    <n v="2220193.7999999998"/>
    <n v="600193.80000000005"/>
    <d v="2025-08-14T00:00:00"/>
    <x v="1"/>
  </r>
  <r>
    <s v="ORD01054"/>
    <d v="2025-02-13T00:00:00"/>
    <x v="2"/>
    <x v="1"/>
    <x v="0"/>
    <x v="8"/>
    <x v="3"/>
    <x v="2"/>
    <n v="107"/>
    <n v="2157"/>
    <n v="2771.84"/>
    <n v="1033"/>
    <n v="99"/>
    <n v="9"/>
    <s v="No"/>
    <n v="3373"/>
    <x v="3"/>
    <n v="296586.88"/>
    <n v="65787.88"/>
    <d v="2025-02-13T00:00:00"/>
    <x v="5"/>
  </r>
  <r>
    <s v="ORD01055"/>
    <d v="2025-01-06T00:00:00"/>
    <x v="2"/>
    <x v="1"/>
    <x v="2"/>
    <x v="18"/>
    <x v="0"/>
    <x v="2"/>
    <n v="252"/>
    <n v="4193"/>
    <n v="5957.13"/>
    <n v="1222"/>
    <n v="278"/>
    <n v="3"/>
    <s v="Yes"/>
    <n v="1963"/>
    <x v="1"/>
    <n v="1501196.76"/>
    <n v="444560.76"/>
    <d v="2025-01-06T00:00:00"/>
    <x v="6"/>
  </r>
  <r>
    <s v="ORD01056"/>
    <d v="2025-12-24T00:00:00"/>
    <x v="3"/>
    <x v="1"/>
    <x v="3"/>
    <x v="15"/>
    <x v="3"/>
    <x v="0"/>
    <n v="231"/>
    <n v="1849"/>
    <n v="2591.5"/>
    <n v="202"/>
    <n v="276"/>
    <n v="1"/>
    <s v="Yes"/>
    <n v="2663"/>
    <x v="1"/>
    <n v="598636.5"/>
    <n v="171517.5"/>
    <d v="2025-12-24T00:00:00"/>
    <x v="10"/>
  </r>
  <r>
    <s v="ORD01057"/>
    <d v="2025-01-14T00:00:00"/>
    <x v="1"/>
    <x v="1"/>
    <x v="3"/>
    <x v="14"/>
    <x v="2"/>
    <x v="2"/>
    <n v="45"/>
    <n v="3019"/>
    <n v="3519.78"/>
    <n v="1207"/>
    <n v="159"/>
    <n v="7"/>
    <s v="No"/>
    <n v="1174"/>
    <x v="0"/>
    <n v="158390.1"/>
    <n v="22535.1"/>
    <d v="2025-01-14T00:00:00"/>
    <x v="6"/>
  </r>
  <r>
    <s v="ORD01058"/>
    <d v="2025-06-27T00:00:00"/>
    <x v="1"/>
    <x v="3"/>
    <x v="3"/>
    <x v="6"/>
    <x v="2"/>
    <x v="2"/>
    <n v="460"/>
    <n v="1970"/>
    <n v="2335.71"/>
    <n v="1195"/>
    <n v="158"/>
    <n v="5"/>
    <s v="Yes"/>
    <n v="4411"/>
    <x v="1"/>
    <n v="1074426.6000000001"/>
    <n v="168226.6"/>
    <d v="2025-06-27T00:00:00"/>
    <x v="7"/>
  </r>
  <r>
    <s v="ORD01059"/>
    <d v="2025-03-18T00:00:00"/>
    <x v="2"/>
    <x v="2"/>
    <x v="2"/>
    <x v="18"/>
    <x v="3"/>
    <x v="1"/>
    <n v="467"/>
    <n v="1758"/>
    <n v="2268.6999999999998"/>
    <n v="1253"/>
    <n v="142"/>
    <n v="4"/>
    <s v="Yes"/>
    <n v="4240"/>
    <x v="1"/>
    <n v="1059482.8999999999"/>
    <n v="238496.9"/>
    <d v="2025-03-18T00:00:00"/>
    <x v="3"/>
  </r>
  <r>
    <s v="ORD01060"/>
    <d v="2025-09-19T00:00:00"/>
    <x v="2"/>
    <x v="4"/>
    <x v="0"/>
    <x v="8"/>
    <x v="1"/>
    <x v="2"/>
    <n v="211"/>
    <n v="1956"/>
    <n v="2382.19"/>
    <n v="1619"/>
    <n v="81"/>
    <n v="5"/>
    <s v="Yes"/>
    <n v="5436"/>
    <x v="1"/>
    <n v="502642.09"/>
    <n v="89926.09"/>
    <d v="2025-09-19T00:00:00"/>
    <x v="4"/>
  </r>
  <r>
    <s v="ORD01061"/>
    <d v="2025-11-23T00:00:00"/>
    <x v="3"/>
    <x v="3"/>
    <x v="3"/>
    <x v="16"/>
    <x v="2"/>
    <x v="1"/>
    <n v="140"/>
    <n v="3085"/>
    <n v="4298.3599999999997"/>
    <n v="270"/>
    <n v="269"/>
    <n v="3"/>
    <s v="Yes"/>
    <n v="7787"/>
    <x v="0"/>
    <n v="601770.4"/>
    <n v="169870.4"/>
    <d v="2025-11-23T00:00:00"/>
    <x v="0"/>
  </r>
  <r>
    <s v="ORD01062"/>
    <d v="2025-11-27T00:00:00"/>
    <x v="1"/>
    <x v="4"/>
    <x v="0"/>
    <x v="8"/>
    <x v="3"/>
    <x v="2"/>
    <n v="116"/>
    <n v="4547"/>
    <n v="6267.68"/>
    <n v="440"/>
    <n v="299"/>
    <n v="10"/>
    <s v="No"/>
    <n v="7192"/>
    <x v="2"/>
    <n v="727050.88"/>
    <n v="199598.88"/>
    <d v="2025-11-27T00:00:00"/>
    <x v="0"/>
  </r>
  <r>
    <s v="ORD01063"/>
    <d v="2025-11-23T00:00:00"/>
    <x v="1"/>
    <x v="4"/>
    <x v="1"/>
    <x v="12"/>
    <x v="2"/>
    <x v="2"/>
    <n v="475"/>
    <n v="1807"/>
    <n v="2336.96"/>
    <n v="1738"/>
    <n v="102"/>
    <n v="4"/>
    <s v="Yes"/>
    <n v="1218"/>
    <x v="1"/>
    <n v="1110056"/>
    <n v="251731"/>
    <d v="2025-11-23T00:00:00"/>
    <x v="0"/>
  </r>
  <r>
    <s v="ORD01064"/>
    <d v="2025-08-02T00:00:00"/>
    <x v="0"/>
    <x v="1"/>
    <x v="3"/>
    <x v="9"/>
    <x v="1"/>
    <x v="0"/>
    <n v="261"/>
    <n v="3870"/>
    <n v="5539.4"/>
    <n v="755"/>
    <n v="271"/>
    <n v="9"/>
    <s v="No"/>
    <n v="2314"/>
    <x v="1"/>
    <n v="1445783.4"/>
    <n v="435713.4"/>
    <d v="2025-08-02T00:00:00"/>
    <x v="1"/>
  </r>
  <r>
    <s v="ORD01065"/>
    <d v="2025-12-24T00:00:00"/>
    <x v="0"/>
    <x v="4"/>
    <x v="1"/>
    <x v="1"/>
    <x v="1"/>
    <x v="1"/>
    <n v="298"/>
    <n v="823"/>
    <n v="1086.1199999999999"/>
    <n v="1337"/>
    <n v="101"/>
    <n v="6"/>
    <s v="No"/>
    <n v="4797"/>
    <x v="2"/>
    <n v="323663.76"/>
    <n v="78409.759999999995"/>
    <d v="2025-12-24T00:00:00"/>
    <x v="10"/>
  </r>
  <r>
    <s v="ORD01066"/>
    <d v="2025-03-26T00:00:00"/>
    <x v="3"/>
    <x v="4"/>
    <x v="1"/>
    <x v="7"/>
    <x v="1"/>
    <x v="0"/>
    <n v="69"/>
    <n v="533"/>
    <n v="770.83"/>
    <n v="1847"/>
    <n v="129"/>
    <n v="8"/>
    <s v="No"/>
    <n v="310"/>
    <x v="0"/>
    <n v="53187.27"/>
    <n v="16410.27"/>
    <d v="2025-03-26T00:00:00"/>
    <x v="3"/>
  </r>
  <r>
    <s v="ORD01067"/>
    <d v="2025-03-31T00:00:00"/>
    <x v="3"/>
    <x v="2"/>
    <x v="0"/>
    <x v="19"/>
    <x v="0"/>
    <x v="0"/>
    <n v="145"/>
    <n v="3647"/>
    <n v="4268.8900000000003"/>
    <n v="1642"/>
    <n v="129"/>
    <n v="10"/>
    <s v="No"/>
    <n v="7424"/>
    <x v="0"/>
    <n v="618989.05000000005"/>
    <n v="90174.05"/>
    <d v="2025-03-31T00:00:00"/>
    <x v="3"/>
  </r>
  <r>
    <s v="ORD01068"/>
    <d v="2025-08-21T00:00:00"/>
    <x v="0"/>
    <x v="2"/>
    <x v="2"/>
    <x v="17"/>
    <x v="2"/>
    <x v="0"/>
    <n v="185"/>
    <n v="130"/>
    <n v="184.61"/>
    <n v="311"/>
    <n v="229"/>
    <n v="7"/>
    <s v="No"/>
    <n v="2087"/>
    <x v="2"/>
    <n v="34152.85"/>
    <n v="10102.85"/>
    <d v="2025-08-21T00:00:00"/>
    <x v="1"/>
  </r>
  <r>
    <s v="ORD01069"/>
    <d v="2025-09-14T00:00:00"/>
    <x v="2"/>
    <x v="2"/>
    <x v="1"/>
    <x v="11"/>
    <x v="2"/>
    <x v="1"/>
    <n v="234"/>
    <n v="4732"/>
    <n v="5786.56"/>
    <n v="1227"/>
    <n v="157"/>
    <n v="1"/>
    <s v="Yes"/>
    <n v="7969"/>
    <x v="0"/>
    <n v="1354055.04"/>
    <n v="246767.04"/>
    <d v="2025-09-14T00:00:00"/>
    <x v="4"/>
  </r>
  <r>
    <s v="ORD01070"/>
    <d v="2025-11-15T00:00:00"/>
    <x v="3"/>
    <x v="0"/>
    <x v="2"/>
    <x v="13"/>
    <x v="2"/>
    <x v="0"/>
    <n v="94"/>
    <n v="2160"/>
    <n v="2572.48"/>
    <n v="671"/>
    <n v="208"/>
    <n v="4"/>
    <s v="Yes"/>
    <n v="2081"/>
    <x v="1"/>
    <n v="241813.12"/>
    <n v="38773.120000000003"/>
    <d v="2025-11-15T00:00:00"/>
    <x v="0"/>
  </r>
  <r>
    <s v="ORD01071"/>
    <d v="2025-10-10T00:00:00"/>
    <x v="2"/>
    <x v="0"/>
    <x v="0"/>
    <x v="0"/>
    <x v="3"/>
    <x v="2"/>
    <n v="340"/>
    <n v="2259"/>
    <n v="3099.69"/>
    <n v="945"/>
    <n v="114"/>
    <n v="3"/>
    <s v="Yes"/>
    <n v="7846"/>
    <x v="1"/>
    <n v="1053894.6000000001"/>
    <n v="285834.59999999998"/>
    <d v="2025-10-10T00:00:00"/>
    <x v="11"/>
  </r>
  <r>
    <s v="ORD01072"/>
    <d v="2025-09-05T00:00:00"/>
    <x v="0"/>
    <x v="4"/>
    <x v="1"/>
    <x v="7"/>
    <x v="1"/>
    <x v="1"/>
    <n v="470"/>
    <n v="4624"/>
    <n v="6205.07"/>
    <n v="1402"/>
    <n v="195"/>
    <n v="5"/>
    <s v="Yes"/>
    <n v="3989"/>
    <x v="1"/>
    <n v="2916382.9"/>
    <n v="743102.9"/>
    <d v="2025-09-05T00:00:00"/>
    <x v="4"/>
  </r>
  <r>
    <s v="ORD01073"/>
    <d v="2025-03-17T00:00:00"/>
    <x v="1"/>
    <x v="0"/>
    <x v="3"/>
    <x v="9"/>
    <x v="2"/>
    <x v="0"/>
    <n v="311"/>
    <n v="871"/>
    <n v="1223.4000000000001"/>
    <n v="1581"/>
    <n v="231"/>
    <n v="5"/>
    <s v="Yes"/>
    <n v="7750"/>
    <x v="1"/>
    <n v="380477.4"/>
    <n v="109596.4"/>
    <d v="2025-03-17T00:00:00"/>
    <x v="3"/>
  </r>
  <r>
    <s v="ORD01074"/>
    <d v="2025-06-04T00:00:00"/>
    <x v="2"/>
    <x v="3"/>
    <x v="0"/>
    <x v="4"/>
    <x v="2"/>
    <x v="0"/>
    <n v="171"/>
    <n v="3656"/>
    <n v="4374.53"/>
    <n v="1282"/>
    <n v="106"/>
    <n v="10"/>
    <s v="No"/>
    <n v="7049"/>
    <x v="0"/>
    <n v="748044.63"/>
    <n v="122868.63"/>
    <d v="2025-06-04T00:00:00"/>
    <x v="7"/>
  </r>
  <r>
    <s v="ORD01075"/>
    <d v="2025-12-03T00:00:00"/>
    <x v="1"/>
    <x v="0"/>
    <x v="3"/>
    <x v="6"/>
    <x v="0"/>
    <x v="0"/>
    <n v="448"/>
    <n v="3812"/>
    <n v="5477.21"/>
    <n v="422"/>
    <n v="177"/>
    <n v="4"/>
    <s v="Yes"/>
    <n v="3568"/>
    <x v="1"/>
    <n v="2453790.08"/>
    <n v="746014.08"/>
    <d v="2025-12-03T00:00:00"/>
    <x v="10"/>
  </r>
  <r>
    <s v="ORD01076"/>
    <d v="2025-04-25T00:00:00"/>
    <x v="3"/>
    <x v="4"/>
    <x v="2"/>
    <x v="5"/>
    <x v="3"/>
    <x v="0"/>
    <n v="125"/>
    <n v="2530"/>
    <n v="3720.75"/>
    <n v="1534"/>
    <n v="159"/>
    <n v="5"/>
    <s v="Yes"/>
    <n v="5241"/>
    <x v="1"/>
    <n v="465093.75"/>
    <n v="148843.75"/>
    <d v="2025-04-25T00:00:00"/>
    <x v="8"/>
  </r>
  <r>
    <s v="ORD01077"/>
    <d v="2025-09-26T00:00:00"/>
    <x v="2"/>
    <x v="0"/>
    <x v="0"/>
    <x v="0"/>
    <x v="0"/>
    <x v="2"/>
    <n v="445"/>
    <n v="4025"/>
    <n v="6006.48"/>
    <n v="646"/>
    <n v="186"/>
    <n v="7"/>
    <s v="No"/>
    <n v="1278"/>
    <x v="2"/>
    <n v="2672883.6"/>
    <n v="881758.6"/>
    <d v="2025-09-26T00:00:00"/>
    <x v="4"/>
  </r>
  <r>
    <s v="ORD01078"/>
    <d v="2025-10-25T00:00:00"/>
    <x v="1"/>
    <x v="4"/>
    <x v="0"/>
    <x v="8"/>
    <x v="1"/>
    <x v="2"/>
    <n v="18"/>
    <n v="2416"/>
    <n v="2993.2"/>
    <n v="245"/>
    <n v="82"/>
    <n v="9"/>
    <s v="No"/>
    <n v="2608"/>
    <x v="0"/>
    <n v="53877.599999999999"/>
    <n v="10389.6"/>
    <d v="2025-10-25T00:00:00"/>
    <x v="11"/>
  </r>
  <r>
    <s v="ORD01079"/>
    <d v="2025-07-11T00:00:00"/>
    <x v="3"/>
    <x v="3"/>
    <x v="1"/>
    <x v="12"/>
    <x v="3"/>
    <x v="2"/>
    <n v="335"/>
    <n v="1221"/>
    <n v="1692.94"/>
    <n v="148"/>
    <n v="212"/>
    <n v="5"/>
    <s v="Yes"/>
    <n v="1066"/>
    <x v="1"/>
    <n v="567134.9"/>
    <n v="158099.9"/>
    <d v="2025-07-11T00:00:00"/>
    <x v="9"/>
  </r>
  <r>
    <s v="ORD01080"/>
    <d v="2025-11-19T00:00:00"/>
    <x v="0"/>
    <x v="2"/>
    <x v="0"/>
    <x v="4"/>
    <x v="2"/>
    <x v="0"/>
    <n v="29"/>
    <n v="1316"/>
    <n v="1947.91"/>
    <n v="1152"/>
    <n v="149"/>
    <n v="3"/>
    <s v="Yes"/>
    <n v="6144"/>
    <x v="1"/>
    <n v="56489.39"/>
    <n v="18325.39"/>
    <d v="2025-11-19T00:00:00"/>
    <x v="0"/>
  </r>
  <r>
    <s v="ORD01081"/>
    <d v="2025-09-19T00:00:00"/>
    <x v="2"/>
    <x v="3"/>
    <x v="1"/>
    <x v="11"/>
    <x v="2"/>
    <x v="2"/>
    <n v="361"/>
    <n v="2449"/>
    <n v="3500.36"/>
    <n v="1574"/>
    <n v="186"/>
    <n v="5"/>
    <s v="Yes"/>
    <n v="6043"/>
    <x v="1"/>
    <n v="1263629.96"/>
    <n v="379540.96"/>
    <d v="2025-09-19T00:00:00"/>
    <x v="4"/>
  </r>
  <r>
    <s v="ORD01082"/>
    <d v="2025-03-02T00:00:00"/>
    <x v="3"/>
    <x v="3"/>
    <x v="1"/>
    <x v="12"/>
    <x v="0"/>
    <x v="1"/>
    <n v="62"/>
    <n v="3506"/>
    <n v="4852.4799999999996"/>
    <n v="1479"/>
    <n v="110"/>
    <n v="7"/>
    <s v="No"/>
    <n v="7848"/>
    <x v="3"/>
    <n v="300853.76000000001"/>
    <n v="83481.759999999995"/>
    <d v="2025-03-02T00:00:00"/>
    <x v="3"/>
  </r>
  <r>
    <s v="ORD01083"/>
    <d v="2025-12-22T00:00:00"/>
    <x v="2"/>
    <x v="1"/>
    <x v="2"/>
    <x v="18"/>
    <x v="0"/>
    <x v="1"/>
    <n v="412"/>
    <n v="2698"/>
    <n v="3746.58"/>
    <n v="1033"/>
    <n v="91"/>
    <n v="3"/>
    <s v="Yes"/>
    <n v="4395"/>
    <x v="1"/>
    <n v="1543590.96"/>
    <n v="432014.96"/>
    <d v="2025-12-22T00:00:0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J37:M48" firstHeaderRow="0" firstDataRow="1" firstDataCol="1"/>
  <pivotFields count="21">
    <pivotField showAll="0"/>
    <pivotField numFmtId="14" showAll="0"/>
    <pivotField showAll="0">
      <items count="5">
        <item x="3"/>
        <item x="2"/>
        <item x="0"/>
        <item x="1"/>
        <item t="default"/>
      </items>
    </pivotField>
    <pivotField showAll="0">
      <items count="6">
        <item x="0"/>
        <item x="1"/>
        <item x="3"/>
        <item x="4"/>
        <item x="2"/>
        <item t="default"/>
      </items>
    </pivotField>
    <pivotField showAll="0">
      <items count="5">
        <item x="2"/>
        <item x="3"/>
        <item x="1"/>
        <item x="0"/>
        <item t="default"/>
      </items>
    </pivotField>
    <pivotField axis="axisRow" showAll="0" measureFilter="1" sortType="descending">
      <items count="21">
        <item x="12"/>
        <item x="4"/>
        <item x="7"/>
        <item x="14"/>
        <item x="11"/>
        <item x="5"/>
        <item x="17"/>
        <item x="19"/>
        <item x="3"/>
        <item x="1"/>
        <item x="13"/>
        <item x="10"/>
        <item x="6"/>
        <item x="18"/>
        <item x="16"/>
        <item x="0"/>
        <item x="8"/>
        <item x="9"/>
        <item x="15"/>
        <item x="2"/>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4">
        <item x="1"/>
        <item x="0"/>
        <item x="2"/>
        <item t="default"/>
      </items>
    </pivotField>
    <pivotField dataField="1" showAll="0"/>
    <pivotField showAll="0"/>
    <pivotField showAll="0"/>
    <pivotField showAll="0"/>
    <pivotField showAll="0"/>
    <pivotField showAll="0"/>
    <pivotField showAll="0"/>
    <pivotField showAll="0"/>
    <pivotField showAll="0"/>
    <pivotField dataField="1" showAll="0"/>
    <pivotField dataField="1" showAll="0"/>
    <pivotField numFmtId="14" showAll="0"/>
    <pivotField showAll="0">
      <items count="13">
        <item x="6"/>
        <item x="5"/>
        <item x="3"/>
        <item x="8"/>
        <item x="2"/>
        <item x="7"/>
        <item x="9"/>
        <item x="1"/>
        <item x="4"/>
        <item x="11"/>
        <item x="0"/>
        <item x="10"/>
        <item t="default"/>
      </items>
    </pivotField>
  </pivotFields>
  <rowFields count="1">
    <field x="5"/>
  </rowFields>
  <rowItems count="11">
    <i>
      <x v="2"/>
    </i>
    <i>
      <x v="11"/>
    </i>
    <i>
      <x v="15"/>
    </i>
    <i>
      <x v="7"/>
    </i>
    <i>
      <x v="6"/>
    </i>
    <i>
      <x v="4"/>
    </i>
    <i>
      <x v="10"/>
    </i>
    <i>
      <x v="1"/>
    </i>
    <i>
      <x v="13"/>
    </i>
    <i>
      <x v="12"/>
    </i>
    <i t="grand">
      <x/>
    </i>
  </rowItems>
  <colFields count="1">
    <field x="-2"/>
  </colFields>
  <colItems count="3">
    <i>
      <x/>
    </i>
    <i i="1">
      <x v="1"/>
    </i>
    <i i="2">
      <x v="2"/>
    </i>
  </colItems>
  <dataFields count="3">
    <dataField name="Sum of Revenue" fld="17" baseField="0" baseItem="0" numFmtId="165"/>
    <dataField name="Sum of Profit" fld="18" baseField="0" baseItem="0" numFmtId="165"/>
    <dataField name="Sum of Quantity" fld="8" baseField="0" baseItem="0"/>
  </dataField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D3:E8" firstHeaderRow="1" firstDataRow="1" firstDataCol="1"/>
  <pivotFields count="21">
    <pivotField showAll="0"/>
    <pivotField numFmtId="14"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4" showAll="0"/>
    <pivotField showAll="0">
      <items count="13">
        <item x="6"/>
        <item x="5"/>
        <item x="3"/>
        <item x="8"/>
        <item x="2"/>
        <item x="7"/>
        <item x="9"/>
        <item x="1"/>
        <item x="4"/>
        <item x="11"/>
        <item x="0"/>
        <item x="10"/>
        <item t="default"/>
      </items>
    </pivotField>
  </pivotFields>
  <rowFields count="1">
    <field x="4"/>
  </rowFields>
  <rowItems count="5">
    <i>
      <x/>
    </i>
    <i>
      <x v="2"/>
    </i>
    <i>
      <x v="3"/>
    </i>
    <i>
      <x v="1"/>
    </i>
    <i t="grand">
      <x/>
    </i>
  </rowItems>
  <colItems count="1">
    <i/>
  </colItems>
  <dataFields count="1">
    <dataField name="Sum of Revenue" fld="17" baseField="0" baseItem="0" numFmtId="165"/>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10:E15" firstHeaderRow="1" firstDataRow="1" firstDataCol="1"/>
  <pivotFields count="21">
    <pivotField dataField="1" showAll="0"/>
    <pivotField numFmtId="14" showAll="0"/>
    <pivotField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numFmtId="14" showAll="0"/>
    <pivotField showAll="0">
      <items count="13">
        <item x="6"/>
        <item x="5"/>
        <item x="3"/>
        <item x="8"/>
        <item x="2"/>
        <item x="7"/>
        <item x="9"/>
        <item x="1"/>
        <item x="4"/>
        <item x="11"/>
        <item x="0"/>
        <item x="10"/>
        <item t="default"/>
      </items>
    </pivotField>
  </pivotFields>
  <rowFields count="1">
    <field x="16"/>
  </rowFields>
  <rowItems count="5">
    <i>
      <x/>
    </i>
    <i>
      <x v="1"/>
    </i>
    <i>
      <x v="2"/>
    </i>
    <i>
      <x v="3"/>
    </i>
    <i t="grand">
      <x/>
    </i>
  </rowItems>
  <colItems count="1">
    <i/>
  </colItems>
  <dataFields count="1">
    <dataField name="Count of Order_ID" fld="0" subtotal="count" baseField="0" baseItem="0"/>
  </dataFields>
  <chartFormats count="5">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6" count="1" selected="0">
            <x v="0"/>
          </reference>
        </references>
      </pivotArea>
    </chartFormat>
    <chartFormat chart="5" format="14">
      <pivotArea type="data" outline="0" fieldPosition="0">
        <references count="2">
          <reference field="4294967294" count="1" selected="0">
            <x v="0"/>
          </reference>
          <reference field="16" count="1" selected="0">
            <x v="1"/>
          </reference>
        </references>
      </pivotArea>
    </chartFormat>
    <chartFormat chart="5" format="15">
      <pivotArea type="data" outline="0" fieldPosition="0">
        <references count="2">
          <reference field="4294967294" count="1" selected="0">
            <x v="0"/>
          </reference>
          <reference field="16" count="1" selected="0">
            <x v="2"/>
          </reference>
        </references>
      </pivotArea>
    </chartFormat>
    <chartFormat chart="5" format="16">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35:H41" firstHeaderRow="1" firstDataRow="1" firstDataCol="1"/>
  <pivotFields count="21">
    <pivotField showAll="0"/>
    <pivotField numFmtId="14" showAll="0"/>
    <pivotField showAll="0">
      <items count="5">
        <item x="3"/>
        <item x="2"/>
        <item x="0"/>
        <item x="1"/>
        <item t="default"/>
      </items>
    </pivotField>
    <pivotField axis="axisRow" showAll="0" sortType="ascending">
      <items count="6">
        <item x="0"/>
        <item x="1"/>
        <item x="3"/>
        <item x="4"/>
        <item x="2"/>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21">
        <item x="12"/>
        <item x="4"/>
        <item x="7"/>
        <item x="14"/>
        <item x="11"/>
        <item x="5"/>
        <item x="17"/>
        <item x="19"/>
        <item x="3"/>
        <item x="1"/>
        <item x="13"/>
        <item x="10"/>
        <item x="6"/>
        <item x="18"/>
        <item x="16"/>
        <item x="0"/>
        <item x="8"/>
        <item x="9"/>
        <item x="15"/>
        <item x="2"/>
        <item t="default"/>
      </items>
    </pivotField>
    <pivotField showAll="0">
      <items count="5">
        <item x="0"/>
        <item x="1"/>
        <item x="2"/>
        <item x="3"/>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items count="13">
        <item x="6"/>
        <item x="5"/>
        <item x="3"/>
        <item x="8"/>
        <item x="2"/>
        <item x="7"/>
        <item x="9"/>
        <item x="1"/>
        <item x="4"/>
        <item x="11"/>
        <item x="0"/>
        <item x="10"/>
        <item t="default"/>
      </items>
    </pivotField>
  </pivotFields>
  <rowFields count="1">
    <field x="3"/>
  </rowFields>
  <rowItems count="6">
    <i>
      <x v="4"/>
    </i>
    <i>
      <x/>
    </i>
    <i>
      <x v="1"/>
    </i>
    <i>
      <x v="3"/>
    </i>
    <i>
      <x v="2"/>
    </i>
    <i t="grand">
      <x/>
    </i>
  </rowItems>
  <colItems count="1">
    <i/>
  </colItems>
  <dataFields count="1">
    <dataField name="Average of Delivery_Days" fld="13" subtotal="average" baseField="3" baseItem="0" numFmtId="166"/>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J12:L33" firstHeaderRow="0" firstDataRow="1" firstDataCol="1"/>
  <pivotFields count="21">
    <pivotField showAll="0"/>
    <pivotField numFmtId="14" showAll="0"/>
    <pivotField showAll="0">
      <items count="5">
        <item x="3"/>
        <item x="2"/>
        <item x="0"/>
        <item x="1"/>
        <item t="default"/>
      </items>
    </pivotField>
    <pivotField showAll="0"/>
    <pivotField showAll="0">
      <items count="5">
        <item x="2"/>
        <item x="3"/>
        <item x="1"/>
        <item x="0"/>
        <item t="default"/>
      </items>
    </pivotField>
    <pivotField axis="axisRow" showAll="0" sortType="descending">
      <items count="21">
        <item x="12"/>
        <item x="4"/>
        <item x="7"/>
        <item x="14"/>
        <item x="11"/>
        <item x="5"/>
        <item x="17"/>
        <item x="19"/>
        <item x="3"/>
        <item x="1"/>
        <item x="13"/>
        <item x="10"/>
        <item x="6"/>
        <item x="18"/>
        <item x="16"/>
        <item x="0"/>
        <item x="8"/>
        <item x="9"/>
        <item x="15"/>
        <item x="2"/>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dataField="1" showAll="0"/>
    <pivotField dataField="1" showAll="0"/>
    <pivotField showAll="0"/>
    <pivotField showAll="0"/>
    <pivotField showAll="0"/>
    <pivotField showAll="0">
      <items count="5">
        <item x="2"/>
        <item x="3"/>
        <item x="1"/>
        <item x="0"/>
        <item t="default"/>
      </items>
    </pivotField>
    <pivotField showAll="0"/>
    <pivotField showAll="0"/>
    <pivotField numFmtId="14" showAll="0"/>
    <pivotField showAll="0">
      <items count="13">
        <item x="6"/>
        <item x="5"/>
        <item x="3"/>
        <item x="8"/>
        <item x="2"/>
        <item x="7"/>
        <item x="9"/>
        <item x="1"/>
        <item x="4"/>
        <item x="11"/>
        <item x="0"/>
        <item x="10"/>
        <item t="default"/>
      </items>
    </pivotField>
  </pivotFields>
  <rowFields count="1">
    <field x="5"/>
  </rowFields>
  <rowItems count="21">
    <i>
      <x v="7"/>
    </i>
    <i>
      <x v="9"/>
    </i>
    <i>
      <x v="16"/>
    </i>
    <i>
      <x v="11"/>
    </i>
    <i>
      <x v="3"/>
    </i>
    <i>
      <x v="8"/>
    </i>
    <i>
      <x v="18"/>
    </i>
    <i>
      <x/>
    </i>
    <i>
      <x v="12"/>
    </i>
    <i>
      <x v="1"/>
    </i>
    <i>
      <x v="14"/>
    </i>
    <i>
      <x v="10"/>
    </i>
    <i>
      <x v="19"/>
    </i>
    <i>
      <x v="6"/>
    </i>
    <i>
      <x v="13"/>
    </i>
    <i>
      <x v="15"/>
    </i>
    <i>
      <x v="2"/>
    </i>
    <i>
      <x v="4"/>
    </i>
    <i>
      <x v="5"/>
    </i>
    <i>
      <x v="17"/>
    </i>
    <i t="grand">
      <x/>
    </i>
  </rowItems>
  <colFields count="1">
    <field x="-2"/>
  </colFields>
  <colItems count="2">
    <i>
      <x/>
    </i>
    <i i="1">
      <x v="1"/>
    </i>
  </colItems>
  <dataFields count="2">
    <dataField name="Average of Inventory_Level" fld="11" subtotal="average" baseField="5" baseItem="0" numFmtId="166"/>
    <dataField name="Average of Reorder_Level" fld="12" subtotal="average" baseField="5"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J3:K8" firstHeaderRow="1" firstDataRow="1" firstDataCol="1"/>
  <pivotFields count="21">
    <pivotField showAll="0"/>
    <pivotField numFmtId="14" showAll="0"/>
    <pivotField showAll="0">
      <items count="5">
        <item x="3"/>
        <item x="2"/>
        <item x="0"/>
        <item x="1"/>
        <item t="default"/>
      </items>
    </pivotField>
    <pivotField showAll="0"/>
    <pivotField showAll="0">
      <items count="5">
        <item x="2"/>
        <item x="3"/>
        <item x="1"/>
        <item x="0"/>
        <item t="default"/>
      </items>
    </pivotField>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4" showAll="0"/>
    <pivotField showAll="0">
      <items count="13">
        <item x="6"/>
        <item x="5"/>
        <item x="3"/>
        <item x="8"/>
        <item x="2"/>
        <item x="7"/>
        <item x="9"/>
        <item x="1"/>
        <item x="4"/>
        <item x="11"/>
        <item x="0"/>
        <item x="10"/>
        <item t="default"/>
      </items>
    </pivotField>
  </pivotFields>
  <rowFields count="1">
    <field x="6"/>
  </rowFields>
  <rowItems count="5">
    <i>
      <x v="2"/>
    </i>
    <i>
      <x/>
    </i>
    <i>
      <x v="1"/>
    </i>
    <i>
      <x v="3"/>
    </i>
    <i t="grand">
      <x/>
    </i>
  </rowItems>
  <colItems count="1">
    <i/>
  </colItems>
  <dataFields count="1">
    <dataField name="Sum of Revenue" fld="17" baseField="0" baseItem="0" numFmtId="165"/>
  </dataFields>
  <chartFormats count="1">
    <chartFormat chart="5"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D21:E27" firstHeaderRow="1" firstDataRow="1" firstDataCol="1"/>
  <pivotFields count="21">
    <pivotField dataField="1" showAll="0"/>
    <pivotField numFmtId="14" showAll="0"/>
    <pivotField showAll="0">
      <items count="5">
        <item x="3"/>
        <item x="2"/>
        <item x="0"/>
        <item x="1"/>
        <item t="default"/>
      </items>
    </pivotField>
    <pivotField axis="axisRow" showAll="0">
      <items count="6">
        <item x="0"/>
        <item x="1"/>
        <item x="3"/>
        <item x="4"/>
        <item x="2"/>
        <item t="default"/>
      </items>
    </pivotField>
    <pivotField showAll="0">
      <items count="5">
        <item x="2"/>
        <item x="3"/>
        <item x="1"/>
        <item x="0"/>
        <item t="default"/>
      </items>
    </pivotField>
    <pivotField showAll="0">
      <items count="21">
        <item x="12"/>
        <item x="4"/>
        <item x="7"/>
        <item x="14"/>
        <item x="11"/>
        <item x="5"/>
        <item x="17"/>
        <item x="19"/>
        <item x="3"/>
        <item x="1"/>
        <item x="13"/>
        <item x="10"/>
        <item x="6"/>
        <item x="18"/>
        <item x="16"/>
        <item x="0"/>
        <item x="8"/>
        <item x="9"/>
        <item x="15"/>
        <item x="2"/>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13">
        <item x="6"/>
        <item x="5"/>
        <item x="3"/>
        <item x="8"/>
        <item x="2"/>
        <item x="7"/>
        <item x="9"/>
        <item x="1"/>
        <item x="4"/>
        <item x="11"/>
        <item x="0"/>
        <item x="10"/>
        <item t="default"/>
      </items>
    </pivotField>
  </pivotFields>
  <rowFields count="1">
    <field x="3"/>
  </rowFields>
  <rowItems count="6">
    <i>
      <x/>
    </i>
    <i>
      <x v="1"/>
    </i>
    <i>
      <x v="2"/>
    </i>
    <i>
      <x v="3"/>
    </i>
    <i>
      <x v="4"/>
    </i>
    <i t="grand">
      <x/>
    </i>
  </rowItems>
  <colItems count="1">
    <i/>
  </colItems>
  <dataFields count="1">
    <dataField name="Count of Order_ID" fld="0" subtotal="count" baseField="0" baseItem="0"/>
  </dataFields>
  <chartFormats count="1">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6" firstHeaderRow="1" firstDataRow="1" firstDataCol="1"/>
  <pivotFields count="21">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13">
        <item x="6"/>
        <item x="5"/>
        <item x="3"/>
        <item x="8"/>
        <item x="2"/>
        <item x="7"/>
        <item x="9"/>
        <item x="1"/>
        <item x="4"/>
        <item x="11"/>
        <item x="0"/>
        <item x="10"/>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Count of Order_ID" fld="0" subtotal="count" baseField="0" baseItem="0"/>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G3:H8" firstHeaderRow="1" firstDataRow="1" firstDataCol="1"/>
  <pivotFields count="21">
    <pivotField dataField="1" showAll="0"/>
    <pivotField numFmtId="14"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items count="6">
        <item x="0"/>
        <item x="1"/>
        <item x="3"/>
        <item x="4"/>
        <item x="2"/>
        <item t="default"/>
      </items>
    </pivotField>
    <pivotField showAll="0">
      <items count="5">
        <item x="2"/>
        <item x="3"/>
        <item x="1"/>
        <item x="0"/>
        <item t="default"/>
      </items>
    </pivotField>
    <pivotField showAll="0"/>
    <pivotField showAll="0">
      <items count="5">
        <item x="0"/>
        <item x="1"/>
        <item x="2"/>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numFmtId="14" showAll="0"/>
    <pivotField showAll="0">
      <items count="13">
        <item x="6"/>
        <item x="5"/>
        <item x="3"/>
        <item x="8"/>
        <item x="2"/>
        <item x="7"/>
        <item x="9"/>
        <item x="1"/>
        <item x="4"/>
        <item x="11"/>
        <item x="0"/>
        <item x="10"/>
        <item t="default"/>
      </items>
    </pivotField>
  </pivotFields>
  <rowFields count="1">
    <field x="2"/>
  </rowFields>
  <rowItems count="5">
    <i>
      <x/>
    </i>
    <i>
      <x v="3"/>
    </i>
    <i>
      <x v="1"/>
    </i>
    <i>
      <x v="2"/>
    </i>
    <i t="grand">
      <x/>
    </i>
  </rowItems>
  <colItems count="1">
    <i/>
  </colItems>
  <dataFields count="1">
    <dataField name="Count of Order_ID" fld="0" subtotal="count" baseField="0" baseItem="0"/>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G10:H14" firstHeaderRow="1" firstDataRow="1" firstDataCol="1"/>
  <pivotFields count="21">
    <pivotField dataField="1" showAll="0"/>
    <pivotField numFmtId="14" showAll="0"/>
    <pivotField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5">
        <item x="2"/>
        <item x="3"/>
        <item x="1"/>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numFmtId="14" showAll="0"/>
    <pivotField showAll="0">
      <items count="13">
        <item x="6"/>
        <item x="5"/>
        <item x="3"/>
        <item x="8"/>
        <item x="2"/>
        <item x="7"/>
        <item x="9"/>
        <item x="1"/>
        <item x="4"/>
        <item x="11"/>
        <item x="0"/>
        <item x="10"/>
        <item t="default"/>
      </items>
    </pivotField>
  </pivotFields>
  <rowFields count="1">
    <field x="7"/>
  </rowFields>
  <rowItems count="4">
    <i>
      <x/>
    </i>
    <i>
      <x v="1"/>
    </i>
    <i>
      <x v="2"/>
    </i>
    <i t="grand">
      <x/>
    </i>
  </rowItems>
  <colItems count="1">
    <i/>
  </colItems>
  <dataFields count="1">
    <dataField name="Count of Order_ID" fld="0" subtotal="count" baseField="0" baseItem="0"/>
  </dataFields>
  <chartFormats count="1">
    <chartFormat chart="9"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20:H31" firstHeaderRow="1" firstDataRow="1" firstDataCol="1"/>
  <pivotFields count="21">
    <pivotField showAll="0"/>
    <pivotField numFmtId="14" showAll="0"/>
    <pivotField showAll="0">
      <items count="5">
        <item x="3"/>
        <item x="2"/>
        <item x="0"/>
        <item x="1"/>
        <item t="default"/>
      </items>
    </pivotField>
    <pivotField showAll="0"/>
    <pivotField showAll="0">
      <items count="5">
        <item x="2"/>
        <item x="3"/>
        <item x="1"/>
        <item x="0"/>
        <item t="default"/>
      </items>
    </pivotField>
    <pivotField axis="axisRow" showAll="0" measureFilter="1" sortType="descending">
      <items count="21">
        <item x="12"/>
        <item x="4"/>
        <item x="7"/>
        <item x="14"/>
        <item x="11"/>
        <item x="5"/>
        <item x="17"/>
        <item x="19"/>
        <item x="3"/>
        <item x="1"/>
        <item x="13"/>
        <item x="10"/>
        <item x="6"/>
        <item x="18"/>
        <item x="16"/>
        <item x="0"/>
        <item x="8"/>
        <item x="9"/>
        <item x="15"/>
        <item x="2"/>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pivotField showAll="0">
      <items count="13">
        <item x="6"/>
        <item x="5"/>
        <item x="3"/>
        <item x="8"/>
        <item x="2"/>
        <item x="7"/>
        <item x="9"/>
        <item x="1"/>
        <item x="4"/>
        <item x="11"/>
        <item x="0"/>
        <item x="10"/>
        <item t="default"/>
      </items>
    </pivotField>
  </pivotFields>
  <rowFields count="1">
    <field x="5"/>
  </rowFields>
  <rowItems count="11">
    <i>
      <x v="2"/>
    </i>
    <i>
      <x v="11"/>
    </i>
    <i>
      <x v="7"/>
    </i>
    <i>
      <x v="6"/>
    </i>
    <i>
      <x v="1"/>
    </i>
    <i>
      <x v="12"/>
    </i>
    <i>
      <x v="15"/>
    </i>
    <i>
      <x/>
    </i>
    <i>
      <x v="13"/>
    </i>
    <i>
      <x v="4"/>
    </i>
    <i t="grand">
      <x/>
    </i>
  </rowItems>
  <colItems count="1">
    <i/>
  </colItems>
  <dataFields count="1">
    <dataField name="Sum of Profit" fld="18" baseField="0" baseItem="0" numFmtId="165"/>
  </dataFields>
  <chartFormats count="11">
    <chartFormat chart="5" format="23"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5" count="1" selected="0">
            <x v="2"/>
          </reference>
        </references>
      </pivotArea>
    </chartFormat>
    <chartFormat chart="5" format="25">
      <pivotArea type="data" outline="0" fieldPosition="0">
        <references count="2">
          <reference field="4294967294" count="1" selected="0">
            <x v="0"/>
          </reference>
          <reference field="5" count="1" selected="0">
            <x v="11"/>
          </reference>
        </references>
      </pivotArea>
    </chartFormat>
    <chartFormat chart="5" format="26">
      <pivotArea type="data" outline="0" fieldPosition="0">
        <references count="2">
          <reference field="4294967294" count="1" selected="0">
            <x v="0"/>
          </reference>
          <reference field="5" count="1" selected="0">
            <x v="7"/>
          </reference>
        </references>
      </pivotArea>
    </chartFormat>
    <chartFormat chart="5" format="27">
      <pivotArea type="data" outline="0" fieldPosition="0">
        <references count="2">
          <reference field="4294967294" count="1" selected="0">
            <x v="0"/>
          </reference>
          <reference field="5" count="1" selected="0">
            <x v="6"/>
          </reference>
        </references>
      </pivotArea>
    </chartFormat>
    <chartFormat chart="5" format="28">
      <pivotArea type="data" outline="0" fieldPosition="0">
        <references count="2">
          <reference field="4294967294" count="1" selected="0">
            <x v="0"/>
          </reference>
          <reference field="5" count="1" selected="0">
            <x v="1"/>
          </reference>
        </references>
      </pivotArea>
    </chartFormat>
    <chartFormat chart="5" format="29">
      <pivotArea type="data" outline="0" fieldPosition="0">
        <references count="2">
          <reference field="4294967294" count="1" selected="0">
            <x v="0"/>
          </reference>
          <reference field="5" count="1" selected="0">
            <x v="12"/>
          </reference>
        </references>
      </pivotArea>
    </chartFormat>
    <chartFormat chart="5" format="30">
      <pivotArea type="data" outline="0" fieldPosition="0">
        <references count="2">
          <reference field="4294967294" count="1" selected="0">
            <x v="0"/>
          </reference>
          <reference field="5" count="1" selected="0">
            <x v="15"/>
          </reference>
        </references>
      </pivotArea>
    </chartFormat>
    <chartFormat chart="5" format="31">
      <pivotArea type="data" outline="0" fieldPosition="0">
        <references count="2">
          <reference field="4294967294" count="1" selected="0">
            <x v="0"/>
          </reference>
          <reference field="5" count="1" selected="0">
            <x v="0"/>
          </reference>
        </references>
      </pivotArea>
    </chartFormat>
    <chartFormat chart="5" format="32">
      <pivotArea type="data" outline="0" fieldPosition="0">
        <references count="2">
          <reference field="4294967294" count="1" selected="0">
            <x v="0"/>
          </reference>
          <reference field="5" count="1" selected="0">
            <x v="13"/>
          </reference>
        </references>
      </pivotArea>
    </chartFormat>
    <chartFormat chart="5" format="3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D31:E35" firstHeaderRow="1" firstDataRow="1" firstDataCol="1"/>
  <pivotFields count="21">
    <pivotField showAll="0"/>
    <pivotField numFmtId="14" showAll="0"/>
    <pivotField showAll="0">
      <items count="5">
        <item x="3"/>
        <item x="2"/>
        <item x="0"/>
        <item x="1"/>
        <item t="default"/>
      </items>
    </pivotField>
    <pivotField showAll="0">
      <items count="6">
        <item x="0"/>
        <item x="1"/>
        <item x="3"/>
        <item x="4"/>
        <item x="2"/>
        <item t="default"/>
      </items>
    </pivotField>
    <pivotField showAll="0">
      <items count="5">
        <item x="2"/>
        <item x="3"/>
        <item x="1"/>
        <item x="0"/>
        <item t="default"/>
      </items>
    </pivotField>
    <pivotField showAll="0">
      <items count="21">
        <item x="12"/>
        <item x="4"/>
        <item x="7"/>
        <item x="14"/>
        <item x="11"/>
        <item x="5"/>
        <item x="17"/>
        <item x="19"/>
        <item x="3"/>
        <item x="1"/>
        <item x="13"/>
        <item x="10"/>
        <item x="6"/>
        <item x="18"/>
        <item x="16"/>
        <item x="0"/>
        <item x="8"/>
        <item x="9"/>
        <item x="15"/>
        <item x="2"/>
        <item t="default"/>
      </items>
    </pivotField>
    <pivotField showAll="0">
      <items count="5">
        <item x="0"/>
        <item x="1"/>
        <item x="2"/>
        <item x="3"/>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items count="13">
        <item x="6"/>
        <item x="5"/>
        <item x="3"/>
        <item x="8"/>
        <item x="2"/>
        <item x="7"/>
        <item x="9"/>
        <item x="1"/>
        <item x="4"/>
        <item x="11"/>
        <item x="0"/>
        <item x="10"/>
        <item t="default"/>
      </items>
    </pivotField>
  </pivotFields>
  <rowFields count="1">
    <field x="7"/>
  </rowFields>
  <rowItems count="4">
    <i>
      <x/>
    </i>
    <i>
      <x v="1"/>
    </i>
    <i>
      <x v="2"/>
    </i>
    <i t="grand">
      <x/>
    </i>
  </rowItems>
  <colItems count="1">
    <i/>
  </colItems>
  <dataFields count="1">
    <dataField name="Sum of Shipping_Cost_INR"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2">
    <queryTableFields count="21">
      <queryTableField id="1" name="Order_ID" tableColumnId="43"/>
      <queryTableField id="2" name="Order_Date" tableColumnId="44"/>
      <queryTableField id="3" name="Warehouse" tableColumnId="45"/>
      <queryTableField id="4" name="Supplier" tableColumnId="46"/>
      <queryTableField id="5" name="Product_Category" tableColumnId="47"/>
      <queryTableField id="6" name="Product_Name" tableColumnId="48"/>
      <queryTableField id="7" name="State" tableColumnId="49"/>
      <queryTableField id="8" name="Transport_Mode" tableColumnId="50"/>
      <queryTableField id="9" name="Quantity" tableColumnId="51"/>
      <queryTableField id="10" name="Unit_Cost_INR" tableColumnId="52"/>
      <queryTableField id="11" name="Unit_Price_INR" tableColumnId="53"/>
      <queryTableField id="12" name="Inventory_Level" tableColumnId="54"/>
      <queryTableField id="13" name="Reorder_Level" tableColumnId="55"/>
      <queryTableField id="14" name="Delivery_Days" tableColumnId="56"/>
      <queryTableField id="15" name="On_Time_Delivery" tableColumnId="57"/>
      <queryTableField id="16" name="Shipping_Cost_INR" tableColumnId="58"/>
      <queryTableField id="17" name="Order_Status" tableColumnId="59"/>
      <queryTableField id="18" name="Revenue" tableColumnId="60"/>
      <queryTableField id="19" name="Profit" tableColumnId="61"/>
      <queryTableField id="20" name="Order_Date - Copy" tableColumnId="62"/>
      <queryTableField id="21" name="Month" tableColumnId="6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arehouse" sourceName="Warehouse">
  <pivotTables>
    <pivotTable tabId="5" name="PivotTable4"/>
  </pivotTables>
  <data>
    <tabular pivotCacheId="1">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Status" sourceName="Order_Status">
  <pivotTables>
    <pivotTable tabId="5" name="PivotTable4"/>
  </pivotTables>
  <data>
    <tabular pivotCacheId="1">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5" name="PivotTable4"/>
  </pivotTables>
  <data>
    <tabular pivotCacheId="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5" name="PivotTable4"/>
  </pivotTables>
  <data>
    <tabular pivotCacheId="1">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upplier" sourceName="Supplier">
  <pivotTables>
    <pivotTable tabId="5" name="PivotTable4"/>
  </pivotTables>
  <data>
    <tabular pivotCacheId="1">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arehouse" cache="Slicer_Warehouse" caption="Warehouse" style="SlicerStyleLight6" rowHeight="234950"/>
  <slicer name="Order_Status" cache="Slicer_Order_Status" caption="Order_Status" style="SlicerStyleLight6" rowHeight="234950"/>
  <slicer name="State" cache="Slicer_State" caption="State" style="SlicerStyleLight6" rowHeight="234950"/>
  <slicer name="Product_Category" cache="Slicer_Product_Category" caption="Product_Category"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Warehouse 1" cache="Slicer_Warehouse" caption="Warehouse" style="SlicerStyleLight6" rowHeight="234950"/>
  <slicer name="State 1" cache="Slicer_State" caption="State" style="SlicerStyleLight6" rowHeight="234950"/>
  <slicer name="Product_Category 1" cache="Slicer_Product_Category" caption="Product_Category" style="SlicerStyleLight6" rowHeight="234950"/>
  <slicer name="Supplier" cache="Slicer_Supplier" caption="Supplier"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Table1_2" displayName="Table1_2" ref="A1:U1084" tableType="queryTable" totalsRowShown="0">
  <autoFilter ref="A1:U1084"/>
  <tableColumns count="21">
    <tableColumn id="43" uniqueName="43" name="Order_ID" queryTableFieldId="1"/>
    <tableColumn id="44" uniqueName="44" name="Order_Date" queryTableFieldId="2" dataDxfId="3"/>
    <tableColumn id="45" uniqueName="45" name="Warehouse" queryTableFieldId="3"/>
    <tableColumn id="46" uniqueName="46" name="Supplier" queryTableFieldId="4"/>
    <tableColumn id="47" uniqueName="47" name="Product_Category" queryTableFieldId="5"/>
    <tableColumn id="48" uniqueName="48" name="Product_Name" queryTableFieldId="6"/>
    <tableColumn id="49" uniqueName="49" name="State" queryTableFieldId="7"/>
    <tableColumn id="50" uniqueName="50" name="Transport_Mode" queryTableFieldId="8"/>
    <tableColumn id="51" uniqueName="51" name="Quantity" queryTableFieldId="9"/>
    <tableColumn id="52" uniqueName="52" name="Unit_Cost_INR" queryTableFieldId="10"/>
    <tableColumn id="53" uniqueName="53" name="Unit_Price_INR" queryTableFieldId="11"/>
    <tableColumn id="54" uniqueName="54" name="Inventory_Level" queryTableFieldId="12"/>
    <tableColumn id="55" uniqueName="55" name="Reorder_Level" queryTableFieldId="13"/>
    <tableColumn id="56" uniqueName="56" name="Delivery_Days" queryTableFieldId="14"/>
    <tableColumn id="57" uniqueName="57" name="On_Time_Delivery" queryTableFieldId="15"/>
    <tableColumn id="58" uniqueName="58" name="Shipping_Cost_INR" queryTableFieldId="16"/>
    <tableColumn id="59" uniqueName="59" name="Order_Status" queryTableFieldId="17"/>
    <tableColumn id="60" uniqueName="60" name="Revenue" queryTableFieldId="18" dataDxfId="2"/>
    <tableColumn id="61" uniqueName="61" name="Profit" queryTableFieldId="19" dataDxfId="1"/>
    <tableColumn id="62" uniqueName="62" name="Order_Date - Copy" queryTableFieldId="20" dataDxfId="0"/>
    <tableColumn id="63" uniqueName="63" name="Month"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84"/>
  <sheetViews>
    <sheetView topLeftCell="O1" workbookViewId="0">
      <selection activeCell="Z4" sqref="Z4"/>
    </sheetView>
  </sheetViews>
  <sheetFormatPr defaultRowHeight="14.4" x14ac:dyDescent="0.3"/>
  <cols>
    <col min="1" max="1" width="10.77734375" bestFit="1" customWidth="1"/>
    <col min="2" max="2" width="12.88671875" bestFit="1" customWidth="1"/>
    <col min="3" max="3" width="12.77734375" bestFit="1" customWidth="1"/>
    <col min="4" max="4" width="15.6640625" bestFit="1" customWidth="1"/>
    <col min="5" max="5" width="18.5546875" bestFit="1" customWidth="1"/>
    <col min="6" max="6" width="16" bestFit="1" customWidth="1"/>
    <col min="7" max="7" width="14.5546875" bestFit="1" customWidth="1"/>
    <col min="8" max="8" width="17.44140625" bestFit="1" customWidth="1"/>
    <col min="9" max="9" width="10.5546875" bestFit="1" customWidth="1"/>
    <col min="10" max="10" width="15.5546875" bestFit="1" customWidth="1"/>
    <col min="11" max="11" width="16" bestFit="1" customWidth="1"/>
    <col min="12" max="12" width="16.88671875" bestFit="1" customWidth="1"/>
    <col min="13" max="13" width="15.33203125" bestFit="1" customWidth="1"/>
    <col min="14" max="14" width="15" bestFit="1" customWidth="1"/>
    <col min="15" max="15" width="18.6640625" bestFit="1" customWidth="1"/>
    <col min="16" max="16" width="19.44140625" bestFit="1" customWidth="1"/>
    <col min="17" max="17" width="14.21875" bestFit="1" customWidth="1"/>
    <col min="18" max="19" width="12.88671875" bestFit="1" customWidth="1"/>
    <col min="20" max="20" width="18.88671875" bestFit="1" customWidth="1"/>
    <col min="21" max="21" width="9" bestFit="1" customWidth="1"/>
    <col min="24" max="24" width="28.44140625" customWidth="1"/>
    <col min="26" max="26" width="15.33203125" customWidth="1"/>
  </cols>
  <sheetData>
    <row r="1" spans="1:26"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1146</v>
      </c>
      <c r="S1" s="5" t="s">
        <v>1147</v>
      </c>
      <c r="T1" s="5" t="s">
        <v>1150</v>
      </c>
      <c r="U1" s="5" t="s">
        <v>1151</v>
      </c>
    </row>
    <row r="2" spans="1:26" x14ac:dyDescent="0.3">
      <c r="A2" s="5" t="s">
        <v>17</v>
      </c>
      <c r="B2" s="1">
        <v>45962</v>
      </c>
      <c r="C2" s="5" t="s">
        <v>18</v>
      </c>
      <c r="D2" s="5" t="s">
        <v>19</v>
      </c>
      <c r="E2" s="5" t="s">
        <v>20</v>
      </c>
      <c r="F2" s="5" t="s">
        <v>21</v>
      </c>
      <c r="G2" s="5" t="s">
        <v>22</v>
      </c>
      <c r="H2" s="5" t="s">
        <v>23</v>
      </c>
      <c r="I2" s="5">
        <v>27</v>
      </c>
      <c r="J2" s="5">
        <v>4503</v>
      </c>
      <c r="K2" s="5">
        <v>5372.87</v>
      </c>
      <c r="L2" s="5">
        <v>1067</v>
      </c>
      <c r="M2" s="5">
        <v>158</v>
      </c>
      <c r="N2" s="5">
        <v>8</v>
      </c>
      <c r="O2" s="5" t="s">
        <v>24</v>
      </c>
      <c r="P2" s="5">
        <v>4933</v>
      </c>
      <c r="Q2" s="5" t="s">
        <v>25</v>
      </c>
      <c r="R2" s="2">
        <v>145067.49</v>
      </c>
      <c r="S2" s="2">
        <v>23486.49</v>
      </c>
      <c r="T2" s="1">
        <v>45962</v>
      </c>
      <c r="U2" s="5">
        <v>11</v>
      </c>
    </row>
    <row r="3" spans="1:26" x14ac:dyDescent="0.3">
      <c r="A3" s="5" t="s">
        <v>26</v>
      </c>
      <c r="B3" s="1">
        <v>45876</v>
      </c>
      <c r="C3" s="5" t="s">
        <v>27</v>
      </c>
      <c r="D3" s="5" t="s">
        <v>28</v>
      </c>
      <c r="E3" s="5" t="s">
        <v>29</v>
      </c>
      <c r="F3" s="5" t="s">
        <v>30</v>
      </c>
      <c r="G3" s="5" t="s">
        <v>31</v>
      </c>
      <c r="H3" s="5" t="s">
        <v>23</v>
      </c>
      <c r="I3" s="5">
        <v>139</v>
      </c>
      <c r="J3" s="5">
        <v>3252</v>
      </c>
      <c r="K3" s="5">
        <v>4545.8100000000004</v>
      </c>
      <c r="L3" s="5">
        <v>1444</v>
      </c>
      <c r="M3" s="5">
        <v>88</v>
      </c>
      <c r="N3" s="5">
        <v>3</v>
      </c>
      <c r="O3" s="5" t="s">
        <v>32</v>
      </c>
      <c r="P3" s="5">
        <v>1074</v>
      </c>
      <c r="Q3" s="5" t="s">
        <v>33</v>
      </c>
      <c r="R3" s="2">
        <v>631867.59</v>
      </c>
      <c r="S3" s="2">
        <v>179839.59</v>
      </c>
      <c r="T3" s="1">
        <v>45876</v>
      </c>
      <c r="U3" s="5">
        <v>8</v>
      </c>
      <c r="X3">
        <f>COUNTA(A:A)</f>
        <v>1084</v>
      </c>
      <c r="Z3">
        <f>SUM(P:P)</f>
        <v>4487651</v>
      </c>
    </row>
    <row r="4" spans="1:26" x14ac:dyDescent="0.3">
      <c r="A4" s="5" t="s">
        <v>34</v>
      </c>
      <c r="B4" s="1">
        <v>45783</v>
      </c>
      <c r="C4" s="5" t="s">
        <v>35</v>
      </c>
      <c r="D4" s="5" t="s">
        <v>36</v>
      </c>
      <c r="E4" s="5" t="s">
        <v>20</v>
      </c>
      <c r="F4" s="5" t="s">
        <v>37</v>
      </c>
      <c r="G4" s="5" t="s">
        <v>38</v>
      </c>
      <c r="H4" s="5" t="s">
        <v>39</v>
      </c>
      <c r="I4" s="5">
        <v>64</v>
      </c>
      <c r="J4" s="5">
        <v>2849</v>
      </c>
      <c r="K4" s="5">
        <v>3590.02</v>
      </c>
      <c r="L4" s="5">
        <v>1436</v>
      </c>
      <c r="M4" s="5">
        <v>211</v>
      </c>
      <c r="N4" s="5">
        <v>8</v>
      </c>
      <c r="O4" s="5" t="s">
        <v>24</v>
      </c>
      <c r="P4" s="5">
        <v>2906</v>
      </c>
      <c r="Q4" s="5" t="s">
        <v>40</v>
      </c>
      <c r="R4" s="2">
        <v>229761.28</v>
      </c>
      <c r="S4" s="2">
        <v>47425.279999999999</v>
      </c>
      <c r="T4" s="1">
        <v>45783</v>
      </c>
      <c r="U4" s="5">
        <v>5</v>
      </c>
      <c r="X4" s="2">
        <f>SUM(R:R)</f>
        <v>904341903.23999894</v>
      </c>
    </row>
    <row r="5" spans="1:26" x14ac:dyDescent="0.3">
      <c r="A5" s="5" t="s">
        <v>41</v>
      </c>
      <c r="B5" s="1">
        <v>45726</v>
      </c>
      <c r="C5" s="5" t="s">
        <v>42</v>
      </c>
      <c r="D5" s="5" t="s">
        <v>28</v>
      </c>
      <c r="E5" s="5" t="s">
        <v>29</v>
      </c>
      <c r="F5" s="5" t="s">
        <v>43</v>
      </c>
      <c r="G5" s="5" t="s">
        <v>38</v>
      </c>
      <c r="H5" s="5" t="s">
        <v>39</v>
      </c>
      <c r="I5" s="5">
        <v>318</v>
      </c>
      <c r="J5" s="5">
        <v>1458</v>
      </c>
      <c r="K5" s="5">
        <v>1857.6</v>
      </c>
      <c r="L5" s="5">
        <v>1102</v>
      </c>
      <c r="M5" s="5">
        <v>277</v>
      </c>
      <c r="N5" s="5">
        <v>1</v>
      </c>
      <c r="O5" s="5" t="s">
        <v>32</v>
      </c>
      <c r="P5" s="5">
        <v>6049</v>
      </c>
      <c r="Q5" s="5" t="s">
        <v>33</v>
      </c>
      <c r="R5" s="2">
        <v>590716.80000000005</v>
      </c>
      <c r="S5" s="2">
        <v>127072.8</v>
      </c>
      <c r="T5" s="1">
        <v>45726</v>
      </c>
      <c r="U5" s="5">
        <v>3</v>
      </c>
    </row>
    <row r="6" spans="1:26" x14ac:dyDescent="0.3">
      <c r="A6" s="5" t="s">
        <v>44</v>
      </c>
      <c r="B6" s="1">
        <v>45910</v>
      </c>
      <c r="C6" s="5" t="s">
        <v>35</v>
      </c>
      <c r="D6" s="5" t="s">
        <v>19</v>
      </c>
      <c r="E6" s="5" t="s">
        <v>20</v>
      </c>
      <c r="F6" s="5" t="s">
        <v>45</v>
      </c>
      <c r="G6" s="5" t="s">
        <v>22</v>
      </c>
      <c r="H6" s="5" t="s">
        <v>39</v>
      </c>
      <c r="I6" s="5">
        <v>118</v>
      </c>
      <c r="J6" s="5">
        <v>4849</v>
      </c>
      <c r="K6" s="5">
        <v>6722.56</v>
      </c>
      <c r="L6" s="5">
        <v>1289</v>
      </c>
      <c r="M6" s="5">
        <v>272</v>
      </c>
      <c r="N6" s="5">
        <v>6</v>
      </c>
      <c r="O6" s="5" t="s">
        <v>24</v>
      </c>
      <c r="P6" s="5">
        <v>3114</v>
      </c>
      <c r="Q6" s="5" t="s">
        <v>46</v>
      </c>
      <c r="R6" s="2">
        <v>793262.07999999996</v>
      </c>
      <c r="S6" s="2">
        <v>221080.08</v>
      </c>
      <c r="T6" s="1">
        <v>45910</v>
      </c>
      <c r="U6" s="5">
        <v>9</v>
      </c>
      <c r="X6" s="9">
        <f>SUM(S:S)</f>
        <v>222565667.23999995</v>
      </c>
    </row>
    <row r="7" spans="1:26" x14ac:dyDescent="0.3">
      <c r="A7" s="5" t="s">
        <v>47</v>
      </c>
      <c r="B7" s="1">
        <v>45721</v>
      </c>
      <c r="C7" s="5" t="s">
        <v>42</v>
      </c>
      <c r="D7" s="5" t="s">
        <v>36</v>
      </c>
      <c r="E7" s="5" t="s">
        <v>20</v>
      </c>
      <c r="F7" s="5" t="s">
        <v>45</v>
      </c>
      <c r="G7" s="5" t="s">
        <v>22</v>
      </c>
      <c r="H7" s="5" t="s">
        <v>23</v>
      </c>
      <c r="I7" s="5">
        <v>214</v>
      </c>
      <c r="J7" s="5">
        <v>3601</v>
      </c>
      <c r="K7" s="5">
        <v>4858.13</v>
      </c>
      <c r="L7" s="5">
        <v>541</v>
      </c>
      <c r="M7" s="5">
        <v>246</v>
      </c>
      <c r="N7" s="5">
        <v>5</v>
      </c>
      <c r="O7" s="5" t="s">
        <v>32</v>
      </c>
      <c r="P7" s="5">
        <v>542</v>
      </c>
      <c r="Q7" s="5" t="s">
        <v>33</v>
      </c>
      <c r="R7" s="2">
        <v>1039639.82</v>
      </c>
      <c r="S7" s="2">
        <v>269025.82</v>
      </c>
      <c r="T7" s="1">
        <v>45721</v>
      </c>
      <c r="U7" s="5">
        <v>3</v>
      </c>
    </row>
    <row r="8" spans="1:26" x14ac:dyDescent="0.3">
      <c r="A8" s="5" t="s">
        <v>48</v>
      </c>
      <c r="B8" s="1">
        <v>45696</v>
      </c>
      <c r="C8" s="5" t="s">
        <v>27</v>
      </c>
      <c r="D8" s="5" t="s">
        <v>28</v>
      </c>
      <c r="E8" s="5" t="s">
        <v>49</v>
      </c>
      <c r="F8" s="5" t="s">
        <v>50</v>
      </c>
      <c r="G8" s="5" t="s">
        <v>38</v>
      </c>
      <c r="H8" s="5" t="s">
        <v>51</v>
      </c>
      <c r="I8" s="5">
        <v>249</v>
      </c>
      <c r="J8" s="5">
        <v>2006</v>
      </c>
      <c r="K8" s="5">
        <v>2926.59</v>
      </c>
      <c r="L8" s="5">
        <v>1490</v>
      </c>
      <c r="M8" s="5">
        <v>185</v>
      </c>
      <c r="N8" s="5">
        <v>9</v>
      </c>
      <c r="O8" s="5" t="s">
        <v>24</v>
      </c>
      <c r="P8" s="5">
        <v>5680</v>
      </c>
      <c r="Q8" s="5" t="s">
        <v>33</v>
      </c>
      <c r="R8" s="2">
        <v>728720.91</v>
      </c>
      <c r="S8" s="2">
        <v>229226.91</v>
      </c>
      <c r="T8" s="1">
        <v>45696</v>
      </c>
      <c r="U8" s="5">
        <v>2</v>
      </c>
    </row>
    <row r="9" spans="1:26" x14ac:dyDescent="0.3">
      <c r="A9" s="5" t="s">
        <v>52</v>
      </c>
      <c r="B9" s="1">
        <v>45719</v>
      </c>
      <c r="C9" s="5" t="s">
        <v>27</v>
      </c>
      <c r="D9" s="5" t="s">
        <v>53</v>
      </c>
      <c r="E9" s="5" t="s">
        <v>54</v>
      </c>
      <c r="F9" s="5" t="s">
        <v>55</v>
      </c>
      <c r="G9" s="5" t="s">
        <v>56</v>
      </c>
      <c r="H9" s="5" t="s">
        <v>39</v>
      </c>
      <c r="I9" s="5">
        <v>261</v>
      </c>
      <c r="J9" s="5">
        <v>2685</v>
      </c>
      <c r="K9" s="5">
        <v>3549.34</v>
      </c>
      <c r="L9" s="5">
        <v>546</v>
      </c>
      <c r="M9" s="5">
        <v>89</v>
      </c>
      <c r="N9" s="5">
        <v>10</v>
      </c>
      <c r="O9" s="5" t="s">
        <v>24</v>
      </c>
      <c r="P9" s="5">
        <v>5423</v>
      </c>
      <c r="Q9" s="5" t="s">
        <v>46</v>
      </c>
      <c r="R9" s="2">
        <v>926377.74</v>
      </c>
      <c r="S9" s="2">
        <v>225592.74</v>
      </c>
      <c r="T9" s="1">
        <v>45719</v>
      </c>
      <c r="U9" s="5">
        <v>3</v>
      </c>
      <c r="X9" s="2">
        <f>SUM(S:S)</f>
        <v>222565667.23999995</v>
      </c>
    </row>
    <row r="10" spans="1:26" x14ac:dyDescent="0.3">
      <c r="A10" s="5" t="s">
        <v>57</v>
      </c>
      <c r="B10" s="1">
        <v>45667</v>
      </c>
      <c r="C10" s="5" t="s">
        <v>35</v>
      </c>
      <c r="D10" s="5" t="s">
        <v>36</v>
      </c>
      <c r="E10" s="5" t="s">
        <v>29</v>
      </c>
      <c r="F10" s="5" t="s">
        <v>58</v>
      </c>
      <c r="G10" s="5" t="s">
        <v>56</v>
      </c>
      <c r="H10" s="5" t="s">
        <v>39</v>
      </c>
      <c r="I10" s="5">
        <v>62</v>
      </c>
      <c r="J10" s="5">
        <v>3228</v>
      </c>
      <c r="K10" s="5">
        <v>4631.18</v>
      </c>
      <c r="L10" s="5">
        <v>182</v>
      </c>
      <c r="M10" s="5">
        <v>87</v>
      </c>
      <c r="N10" s="5">
        <v>10</v>
      </c>
      <c r="O10" s="5" t="s">
        <v>24</v>
      </c>
      <c r="P10" s="5">
        <v>6305</v>
      </c>
      <c r="Q10" s="5" t="s">
        <v>33</v>
      </c>
      <c r="R10" s="2">
        <v>287133.15999999997</v>
      </c>
      <c r="S10" s="2">
        <v>86997.16</v>
      </c>
      <c r="T10" s="1">
        <v>45667</v>
      </c>
      <c r="U10" s="5">
        <v>1</v>
      </c>
    </row>
    <row r="11" spans="1:26" x14ac:dyDescent="0.3">
      <c r="A11" s="5" t="s">
        <v>59</v>
      </c>
      <c r="B11" s="1">
        <v>45724</v>
      </c>
      <c r="C11" s="5" t="s">
        <v>27</v>
      </c>
      <c r="D11" s="5" t="s">
        <v>28</v>
      </c>
      <c r="E11" s="5" t="s">
        <v>20</v>
      </c>
      <c r="F11" s="5" t="s">
        <v>60</v>
      </c>
      <c r="G11" s="5" t="s">
        <v>31</v>
      </c>
      <c r="H11" s="5" t="s">
        <v>23</v>
      </c>
      <c r="I11" s="5">
        <v>219</v>
      </c>
      <c r="J11" s="5">
        <v>774</v>
      </c>
      <c r="K11" s="5">
        <v>1099.21</v>
      </c>
      <c r="L11" s="5">
        <v>870</v>
      </c>
      <c r="M11" s="5">
        <v>119</v>
      </c>
      <c r="N11" s="5">
        <v>2</v>
      </c>
      <c r="O11" s="5" t="s">
        <v>32</v>
      </c>
      <c r="P11" s="5">
        <v>2192</v>
      </c>
      <c r="Q11" s="5" t="s">
        <v>33</v>
      </c>
      <c r="R11" s="2">
        <v>240726.99</v>
      </c>
      <c r="S11" s="2">
        <v>71220.990000000005</v>
      </c>
      <c r="T11" s="1">
        <v>45724</v>
      </c>
      <c r="U11" s="5">
        <v>3</v>
      </c>
    </row>
    <row r="12" spans="1:26" x14ac:dyDescent="0.3">
      <c r="A12" s="5" t="s">
        <v>61</v>
      </c>
      <c r="B12" s="1">
        <v>45828</v>
      </c>
      <c r="C12" s="5" t="s">
        <v>42</v>
      </c>
      <c r="D12" s="5" t="s">
        <v>62</v>
      </c>
      <c r="E12" s="5" t="s">
        <v>54</v>
      </c>
      <c r="F12" s="5" t="s">
        <v>63</v>
      </c>
      <c r="G12" s="5" t="s">
        <v>38</v>
      </c>
      <c r="H12" s="5" t="s">
        <v>39</v>
      </c>
      <c r="I12" s="5">
        <v>52</v>
      </c>
      <c r="J12" s="5">
        <v>244</v>
      </c>
      <c r="K12" s="5">
        <v>294</v>
      </c>
      <c r="L12" s="5">
        <v>83</v>
      </c>
      <c r="M12" s="5">
        <v>164</v>
      </c>
      <c r="N12" s="5">
        <v>4</v>
      </c>
      <c r="O12" s="5" t="s">
        <v>32</v>
      </c>
      <c r="P12" s="5">
        <v>3622</v>
      </c>
      <c r="Q12" s="5" t="s">
        <v>25</v>
      </c>
      <c r="R12" s="2">
        <v>15288</v>
      </c>
      <c r="S12" s="2">
        <v>2600</v>
      </c>
      <c r="T12" s="1">
        <v>45828</v>
      </c>
      <c r="U12" s="5">
        <v>6</v>
      </c>
      <c r="X12" s="7">
        <f>AVERAGE(N:N)</f>
        <v>5.620498614958449</v>
      </c>
    </row>
    <row r="13" spans="1:26" x14ac:dyDescent="0.3">
      <c r="A13" s="5" t="s">
        <v>64</v>
      </c>
      <c r="B13" s="1">
        <v>45777</v>
      </c>
      <c r="C13" s="5" t="s">
        <v>18</v>
      </c>
      <c r="D13" s="5" t="s">
        <v>28</v>
      </c>
      <c r="E13" s="5" t="s">
        <v>49</v>
      </c>
      <c r="F13" s="5" t="s">
        <v>65</v>
      </c>
      <c r="G13" s="5" t="s">
        <v>22</v>
      </c>
      <c r="H13" s="5" t="s">
        <v>23</v>
      </c>
      <c r="I13" s="5">
        <v>408</v>
      </c>
      <c r="J13" s="5">
        <v>3676</v>
      </c>
      <c r="K13" s="5">
        <v>5441.73</v>
      </c>
      <c r="L13" s="5">
        <v>511</v>
      </c>
      <c r="M13" s="5">
        <v>229</v>
      </c>
      <c r="N13" s="5">
        <v>5</v>
      </c>
      <c r="O13" s="5" t="s">
        <v>32</v>
      </c>
      <c r="P13" s="5">
        <v>2094</v>
      </c>
      <c r="Q13" s="5" t="s">
        <v>33</v>
      </c>
      <c r="R13" s="2">
        <v>2220225.84</v>
      </c>
      <c r="S13" s="2">
        <v>720417.84</v>
      </c>
      <c r="T13" s="1">
        <v>45777</v>
      </c>
      <c r="U13" s="5">
        <v>4</v>
      </c>
      <c r="X13">
        <f>SUM(R:R)</f>
        <v>904341903.23999894</v>
      </c>
    </row>
    <row r="14" spans="1:26" x14ac:dyDescent="0.3">
      <c r="A14" s="5" t="s">
        <v>66</v>
      </c>
      <c r="B14" s="1">
        <v>45855</v>
      </c>
      <c r="C14" s="5" t="s">
        <v>42</v>
      </c>
      <c r="D14" s="5" t="s">
        <v>19</v>
      </c>
      <c r="E14" s="5" t="s">
        <v>20</v>
      </c>
      <c r="F14" s="5" t="s">
        <v>60</v>
      </c>
      <c r="G14" s="5" t="s">
        <v>56</v>
      </c>
      <c r="H14" s="5" t="s">
        <v>23</v>
      </c>
      <c r="I14" s="5">
        <v>267</v>
      </c>
      <c r="J14" s="5">
        <v>1333</v>
      </c>
      <c r="K14" s="5">
        <v>1828.07</v>
      </c>
      <c r="L14" s="5">
        <v>1669</v>
      </c>
      <c r="M14" s="5">
        <v>165</v>
      </c>
      <c r="N14" s="5">
        <v>5</v>
      </c>
      <c r="O14" s="5" t="s">
        <v>32</v>
      </c>
      <c r="P14" s="5">
        <v>4484</v>
      </c>
      <c r="Q14" s="5" t="s">
        <v>33</v>
      </c>
      <c r="R14" s="2">
        <v>488094.69</v>
      </c>
      <c r="S14" s="2">
        <v>132183.69</v>
      </c>
      <c r="T14" s="1">
        <v>45855</v>
      </c>
      <c r="U14" s="5">
        <v>7</v>
      </c>
    </row>
    <row r="15" spans="1:26" x14ac:dyDescent="0.3">
      <c r="A15" s="5" t="s">
        <v>67</v>
      </c>
      <c r="B15" s="1">
        <v>45859</v>
      </c>
      <c r="C15" s="5" t="s">
        <v>35</v>
      </c>
      <c r="D15" s="5" t="s">
        <v>36</v>
      </c>
      <c r="E15" s="5" t="s">
        <v>29</v>
      </c>
      <c r="F15" s="5" t="s">
        <v>30</v>
      </c>
      <c r="G15" s="5" t="s">
        <v>22</v>
      </c>
      <c r="H15" s="5" t="s">
        <v>51</v>
      </c>
      <c r="I15" s="5">
        <v>79</v>
      </c>
      <c r="J15" s="5">
        <v>198</v>
      </c>
      <c r="K15" s="5">
        <v>258.48</v>
      </c>
      <c r="L15" s="5">
        <v>1513</v>
      </c>
      <c r="M15" s="5">
        <v>249</v>
      </c>
      <c r="N15" s="5">
        <v>4</v>
      </c>
      <c r="O15" s="5" t="s">
        <v>32</v>
      </c>
      <c r="P15" s="5">
        <v>2056</v>
      </c>
      <c r="Q15" s="5" t="s">
        <v>33</v>
      </c>
      <c r="R15" s="2">
        <v>20419.919999999998</v>
      </c>
      <c r="S15" s="2">
        <v>4777.92</v>
      </c>
      <c r="T15" s="1">
        <v>45859</v>
      </c>
      <c r="U15" s="5">
        <v>7</v>
      </c>
      <c r="X15">
        <f>AVERAGE(L:L)</f>
        <v>1036.0590951061865</v>
      </c>
    </row>
    <row r="16" spans="1:26" x14ac:dyDescent="0.3">
      <c r="A16" s="5" t="s">
        <v>68</v>
      </c>
      <c r="B16" s="1">
        <v>45771</v>
      </c>
      <c r="C16" s="5" t="s">
        <v>42</v>
      </c>
      <c r="D16" s="5" t="s">
        <v>53</v>
      </c>
      <c r="E16" s="5" t="s">
        <v>29</v>
      </c>
      <c r="F16" s="5" t="s">
        <v>69</v>
      </c>
      <c r="G16" s="5" t="s">
        <v>22</v>
      </c>
      <c r="H16" s="5" t="s">
        <v>39</v>
      </c>
      <c r="I16" s="5">
        <v>191</v>
      </c>
      <c r="J16" s="5">
        <v>1405</v>
      </c>
      <c r="K16" s="5">
        <v>1673.45</v>
      </c>
      <c r="L16" s="5">
        <v>1698</v>
      </c>
      <c r="M16" s="5">
        <v>208</v>
      </c>
      <c r="N16" s="5">
        <v>4</v>
      </c>
      <c r="O16" s="5" t="s">
        <v>32</v>
      </c>
      <c r="P16" s="5">
        <v>518</v>
      </c>
      <c r="Q16" s="5" t="s">
        <v>33</v>
      </c>
      <c r="R16" s="2">
        <v>319628.95</v>
      </c>
      <c r="S16" s="2">
        <v>51273.95</v>
      </c>
      <c r="T16" s="1">
        <v>45771</v>
      </c>
      <c r="U16" s="5">
        <v>4</v>
      </c>
    </row>
    <row r="17" spans="1:24" x14ac:dyDescent="0.3">
      <c r="A17" s="5" t="s">
        <v>70</v>
      </c>
      <c r="B17" s="1">
        <v>45786</v>
      </c>
      <c r="C17" s="5" t="s">
        <v>27</v>
      </c>
      <c r="D17" s="5" t="s">
        <v>19</v>
      </c>
      <c r="E17" s="5" t="s">
        <v>29</v>
      </c>
      <c r="F17" s="5" t="s">
        <v>58</v>
      </c>
      <c r="G17" s="5" t="s">
        <v>22</v>
      </c>
      <c r="H17" s="5" t="s">
        <v>23</v>
      </c>
      <c r="I17" s="5">
        <v>128</v>
      </c>
      <c r="J17" s="5">
        <v>2225</v>
      </c>
      <c r="K17" s="5">
        <v>3253</v>
      </c>
      <c r="L17" s="5">
        <v>82</v>
      </c>
      <c r="M17" s="5">
        <v>190</v>
      </c>
      <c r="N17" s="5">
        <v>4</v>
      </c>
      <c r="O17" s="5" t="s">
        <v>32</v>
      </c>
      <c r="P17" s="5">
        <v>2646</v>
      </c>
      <c r="Q17" s="5" t="s">
        <v>33</v>
      </c>
      <c r="R17" s="2">
        <v>416384</v>
      </c>
      <c r="S17" s="2">
        <v>131584</v>
      </c>
      <c r="T17" s="1">
        <v>45786</v>
      </c>
      <c r="U17" s="5">
        <v>5</v>
      </c>
      <c r="X17">
        <f>COUNTIF(O:O,"Yes")</f>
        <v>472</v>
      </c>
    </row>
    <row r="18" spans="1:24" x14ac:dyDescent="0.3">
      <c r="A18" s="5" t="s">
        <v>71</v>
      </c>
      <c r="B18" s="1">
        <v>45664</v>
      </c>
      <c r="C18" s="5" t="s">
        <v>35</v>
      </c>
      <c r="D18" s="5" t="s">
        <v>62</v>
      </c>
      <c r="E18" s="5" t="s">
        <v>54</v>
      </c>
      <c r="F18" s="5" t="s">
        <v>55</v>
      </c>
      <c r="G18" s="5" t="s">
        <v>56</v>
      </c>
      <c r="H18" s="5" t="s">
        <v>51</v>
      </c>
      <c r="I18" s="5">
        <v>240</v>
      </c>
      <c r="J18" s="5">
        <v>3464</v>
      </c>
      <c r="K18" s="5">
        <v>4198.13</v>
      </c>
      <c r="L18" s="5">
        <v>194</v>
      </c>
      <c r="M18" s="5">
        <v>96</v>
      </c>
      <c r="N18" s="5">
        <v>3</v>
      </c>
      <c r="O18" s="5" t="s">
        <v>32</v>
      </c>
      <c r="P18" s="5">
        <v>713</v>
      </c>
      <c r="Q18" s="5" t="s">
        <v>33</v>
      </c>
      <c r="R18" s="2">
        <v>1007551.2</v>
      </c>
      <c r="S18" s="2">
        <v>176191.2</v>
      </c>
      <c r="T18" s="1">
        <v>45664</v>
      </c>
      <c r="U18" s="5">
        <v>1</v>
      </c>
    </row>
    <row r="19" spans="1:24" x14ac:dyDescent="0.3">
      <c r="A19" s="5" t="s">
        <v>72</v>
      </c>
      <c r="B19" s="1">
        <v>45880</v>
      </c>
      <c r="C19" s="5" t="s">
        <v>42</v>
      </c>
      <c r="D19" s="5" t="s">
        <v>28</v>
      </c>
      <c r="E19" s="5" t="s">
        <v>29</v>
      </c>
      <c r="F19" s="5" t="s">
        <v>73</v>
      </c>
      <c r="G19" s="5" t="s">
        <v>31</v>
      </c>
      <c r="H19" s="5" t="s">
        <v>51</v>
      </c>
      <c r="I19" s="5">
        <v>365</v>
      </c>
      <c r="J19" s="5">
        <v>1290</v>
      </c>
      <c r="K19" s="5">
        <v>1566.41</v>
      </c>
      <c r="L19" s="5">
        <v>282</v>
      </c>
      <c r="M19" s="5">
        <v>96</v>
      </c>
      <c r="N19" s="5">
        <v>7</v>
      </c>
      <c r="O19" s="5" t="s">
        <v>24</v>
      </c>
      <c r="P19" s="5">
        <v>1225</v>
      </c>
      <c r="Q19" s="5" t="s">
        <v>33</v>
      </c>
      <c r="R19" s="2">
        <v>571739.65</v>
      </c>
      <c r="S19" s="2">
        <v>100889.65</v>
      </c>
      <c r="T19" s="1">
        <v>45880</v>
      </c>
      <c r="U19" s="5">
        <v>8</v>
      </c>
      <c r="X19">
        <f>AVERAGE(I:I)</f>
        <v>247.01846722068328</v>
      </c>
    </row>
    <row r="20" spans="1:24" x14ac:dyDescent="0.3">
      <c r="A20" s="5" t="s">
        <v>74</v>
      </c>
      <c r="B20" s="1">
        <v>45667</v>
      </c>
      <c r="C20" s="5" t="s">
        <v>18</v>
      </c>
      <c r="D20" s="5" t="s">
        <v>62</v>
      </c>
      <c r="E20" s="5" t="s">
        <v>49</v>
      </c>
      <c r="F20" s="5" t="s">
        <v>75</v>
      </c>
      <c r="G20" s="5" t="s">
        <v>31</v>
      </c>
      <c r="H20" s="5" t="s">
        <v>39</v>
      </c>
      <c r="I20" s="5">
        <v>207</v>
      </c>
      <c r="J20" s="5">
        <v>4798</v>
      </c>
      <c r="K20" s="5">
        <v>6952.63</v>
      </c>
      <c r="L20" s="5">
        <v>283</v>
      </c>
      <c r="M20" s="5">
        <v>287</v>
      </c>
      <c r="N20" s="5">
        <v>5</v>
      </c>
      <c r="O20" s="5" t="s">
        <v>32</v>
      </c>
      <c r="P20" s="5">
        <v>788</v>
      </c>
      <c r="Q20" s="5" t="s">
        <v>33</v>
      </c>
      <c r="R20" s="2">
        <v>1439194.41</v>
      </c>
      <c r="S20" s="2">
        <v>446008.41</v>
      </c>
      <c r="T20" s="1">
        <v>45667</v>
      </c>
      <c r="U20" s="5">
        <v>1</v>
      </c>
      <c r="X20" s="2">
        <f>SUM(X4)/COUNTA(A:A)</f>
        <v>834263.74837638275</v>
      </c>
    </row>
    <row r="21" spans="1:24" x14ac:dyDescent="0.3">
      <c r="A21" s="5" t="s">
        <v>76</v>
      </c>
      <c r="B21" s="1">
        <v>45986</v>
      </c>
      <c r="C21" s="5" t="s">
        <v>18</v>
      </c>
      <c r="D21" s="5" t="s">
        <v>28</v>
      </c>
      <c r="E21" s="5" t="s">
        <v>29</v>
      </c>
      <c r="F21" s="5" t="s">
        <v>58</v>
      </c>
      <c r="G21" s="5" t="s">
        <v>56</v>
      </c>
      <c r="H21" s="5" t="s">
        <v>51</v>
      </c>
      <c r="I21" s="5">
        <v>257</v>
      </c>
      <c r="J21" s="5">
        <v>3829</v>
      </c>
      <c r="K21" s="5">
        <v>5296.14</v>
      </c>
      <c r="L21" s="5">
        <v>995</v>
      </c>
      <c r="M21" s="5">
        <v>244</v>
      </c>
      <c r="N21" s="5">
        <v>5</v>
      </c>
      <c r="O21" s="5" t="s">
        <v>32</v>
      </c>
      <c r="P21" s="5">
        <v>1750</v>
      </c>
      <c r="Q21" s="5" t="s">
        <v>33</v>
      </c>
      <c r="R21" s="2">
        <v>1361107.98</v>
      </c>
      <c r="S21" s="2">
        <v>377054.98</v>
      </c>
      <c r="T21" s="1">
        <v>45986</v>
      </c>
      <c r="U21" s="5">
        <v>11</v>
      </c>
    </row>
    <row r="22" spans="1:24" x14ac:dyDescent="0.3">
      <c r="A22" s="5" t="s">
        <v>77</v>
      </c>
      <c r="B22" s="1">
        <v>45702</v>
      </c>
      <c r="C22" s="5" t="s">
        <v>42</v>
      </c>
      <c r="D22" s="5" t="s">
        <v>19</v>
      </c>
      <c r="E22" s="5" t="s">
        <v>54</v>
      </c>
      <c r="F22" s="5" t="s">
        <v>78</v>
      </c>
      <c r="G22" s="5" t="s">
        <v>22</v>
      </c>
      <c r="H22" s="5" t="s">
        <v>51</v>
      </c>
      <c r="I22" s="5">
        <v>259</v>
      </c>
      <c r="J22" s="5">
        <v>3562</v>
      </c>
      <c r="K22" s="5">
        <v>4411.3599999999997</v>
      </c>
      <c r="L22" s="5">
        <v>1138</v>
      </c>
      <c r="M22" s="5">
        <v>182</v>
      </c>
      <c r="N22" s="5">
        <v>4</v>
      </c>
      <c r="O22" s="5" t="s">
        <v>32</v>
      </c>
      <c r="P22" s="5">
        <v>5947</v>
      </c>
      <c r="Q22" s="5" t="s">
        <v>33</v>
      </c>
      <c r="R22" s="2">
        <v>1142542.24</v>
      </c>
      <c r="S22" s="2">
        <v>219984.24</v>
      </c>
      <c r="T22" s="1">
        <v>45702</v>
      </c>
      <c r="U22" s="5">
        <v>2</v>
      </c>
      <c r="X22">
        <f>AVERAGE(I:I)</f>
        <v>247.01846722068328</v>
      </c>
    </row>
    <row r="23" spans="1:24" x14ac:dyDescent="0.3">
      <c r="A23" s="5" t="s">
        <v>79</v>
      </c>
      <c r="B23" s="1">
        <v>45757</v>
      </c>
      <c r="C23" s="5" t="s">
        <v>27</v>
      </c>
      <c r="D23" s="5" t="s">
        <v>36</v>
      </c>
      <c r="E23" s="5" t="s">
        <v>54</v>
      </c>
      <c r="F23" s="5" t="s">
        <v>78</v>
      </c>
      <c r="G23" s="5" t="s">
        <v>31</v>
      </c>
      <c r="H23" s="5" t="s">
        <v>39</v>
      </c>
      <c r="I23" s="5">
        <v>452</v>
      </c>
      <c r="J23" s="5">
        <v>2120</v>
      </c>
      <c r="K23" s="5">
        <v>2945.39</v>
      </c>
      <c r="L23" s="5">
        <v>754</v>
      </c>
      <c r="M23" s="5">
        <v>217</v>
      </c>
      <c r="N23" s="5">
        <v>7</v>
      </c>
      <c r="O23" s="5" t="s">
        <v>24</v>
      </c>
      <c r="P23" s="5">
        <v>7599</v>
      </c>
      <c r="Q23" s="5" t="s">
        <v>25</v>
      </c>
      <c r="R23" s="2">
        <v>1331316.28</v>
      </c>
      <c r="S23" s="2">
        <v>373076.28</v>
      </c>
      <c r="T23" s="1">
        <v>45757</v>
      </c>
      <c r="U23" s="5">
        <v>4</v>
      </c>
      <c r="X23">
        <f>AVERAGE(P:P)</f>
        <v>4143.7220683287169</v>
      </c>
    </row>
    <row r="24" spans="1:24" x14ac:dyDescent="0.3">
      <c r="A24" s="5" t="s">
        <v>80</v>
      </c>
      <c r="B24" s="1">
        <v>45756</v>
      </c>
      <c r="C24" s="5" t="s">
        <v>27</v>
      </c>
      <c r="D24" s="5" t="s">
        <v>62</v>
      </c>
      <c r="E24" s="5" t="s">
        <v>54</v>
      </c>
      <c r="F24" s="5" t="s">
        <v>81</v>
      </c>
      <c r="G24" s="5" t="s">
        <v>31</v>
      </c>
      <c r="H24" s="5" t="s">
        <v>51</v>
      </c>
      <c r="I24" s="5">
        <v>359</v>
      </c>
      <c r="J24" s="5">
        <v>1694</v>
      </c>
      <c r="K24" s="5">
        <v>2298.16</v>
      </c>
      <c r="L24" s="5">
        <v>418</v>
      </c>
      <c r="M24" s="5">
        <v>245</v>
      </c>
      <c r="N24" s="5">
        <v>6</v>
      </c>
      <c r="O24" s="5" t="s">
        <v>24</v>
      </c>
      <c r="P24" s="5">
        <v>7364</v>
      </c>
      <c r="Q24" s="5" t="s">
        <v>40</v>
      </c>
      <c r="R24" s="2">
        <v>825039.44</v>
      </c>
      <c r="S24" s="2">
        <v>216893.44</v>
      </c>
      <c r="T24" s="1">
        <v>45756</v>
      </c>
      <c r="U24" s="5">
        <v>4</v>
      </c>
    </row>
    <row r="25" spans="1:24" x14ac:dyDescent="0.3">
      <c r="A25" s="5" t="s">
        <v>82</v>
      </c>
      <c r="B25" s="1">
        <v>45696</v>
      </c>
      <c r="C25" s="5" t="s">
        <v>42</v>
      </c>
      <c r="D25" s="5" t="s">
        <v>28</v>
      </c>
      <c r="E25" s="5" t="s">
        <v>49</v>
      </c>
      <c r="F25" s="5" t="s">
        <v>65</v>
      </c>
      <c r="G25" s="5" t="s">
        <v>38</v>
      </c>
      <c r="H25" s="5" t="s">
        <v>39</v>
      </c>
      <c r="I25" s="5">
        <v>79</v>
      </c>
      <c r="J25" s="5">
        <v>4115</v>
      </c>
      <c r="K25" s="5">
        <v>4888.8999999999996</v>
      </c>
      <c r="L25" s="5">
        <v>827</v>
      </c>
      <c r="M25" s="5">
        <v>241</v>
      </c>
      <c r="N25" s="5">
        <v>2</v>
      </c>
      <c r="O25" s="5" t="s">
        <v>32</v>
      </c>
      <c r="P25" s="5">
        <v>3519</v>
      </c>
      <c r="Q25" s="5" t="s">
        <v>33</v>
      </c>
      <c r="R25" s="2">
        <v>386223.1</v>
      </c>
      <c r="S25" s="2">
        <v>61138.1</v>
      </c>
      <c r="T25" s="1">
        <v>45696</v>
      </c>
      <c r="U25" s="5">
        <v>2</v>
      </c>
    </row>
    <row r="26" spans="1:24" x14ac:dyDescent="0.3">
      <c r="A26" s="5" t="s">
        <v>83</v>
      </c>
      <c r="B26" s="1">
        <v>45660</v>
      </c>
      <c r="C26" s="5" t="s">
        <v>18</v>
      </c>
      <c r="D26" s="5" t="s">
        <v>19</v>
      </c>
      <c r="E26" s="5" t="s">
        <v>29</v>
      </c>
      <c r="F26" s="5" t="s">
        <v>58</v>
      </c>
      <c r="G26" s="5" t="s">
        <v>56</v>
      </c>
      <c r="H26" s="5" t="s">
        <v>23</v>
      </c>
      <c r="I26" s="5">
        <v>437</v>
      </c>
      <c r="J26" s="5">
        <v>1485</v>
      </c>
      <c r="K26" s="5">
        <v>1987.26</v>
      </c>
      <c r="L26" s="5">
        <v>701</v>
      </c>
      <c r="M26" s="5">
        <v>159</v>
      </c>
      <c r="N26" s="5">
        <v>7</v>
      </c>
      <c r="O26" s="5" t="s">
        <v>24</v>
      </c>
      <c r="P26" s="5">
        <v>1455</v>
      </c>
      <c r="Q26" s="5" t="s">
        <v>40</v>
      </c>
      <c r="R26" s="2">
        <v>868432.62</v>
      </c>
      <c r="S26" s="2">
        <v>219487.62</v>
      </c>
      <c r="T26" s="1">
        <v>45660</v>
      </c>
      <c r="U26" s="5">
        <v>1</v>
      </c>
    </row>
    <row r="27" spans="1:24" x14ac:dyDescent="0.3">
      <c r="A27" s="5" t="s">
        <v>84</v>
      </c>
      <c r="B27" s="1">
        <v>46001</v>
      </c>
      <c r="C27" s="5" t="s">
        <v>35</v>
      </c>
      <c r="D27" s="5" t="s">
        <v>36</v>
      </c>
      <c r="E27" s="5" t="s">
        <v>20</v>
      </c>
      <c r="F27" s="5" t="s">
        <v>37</v>
      </c>
      <c r="G27" s="5" t="s">
        <v>22</v>
      </c>
      <c r="H27" s="5" t="s">
        <v>51</v>
      </c>
      <c r="I27" s="5">
        <v>263</v>
      </c>
      <c r="J27" s="5">
        <v>2463</v>
      </c>
      <c r="K27" s="5">
        <v>3251.45</v>
      </c>
      <c r="L27" s="5">
        <v>78</v>
      </c>
      <c r="M27" s="5">
        <v>137</v>
      </c>
      <c r="N27" s="5">
        <v>4</v>
      </c>
      <c r="O27" s="5" t="s">
        <v>32</v>
      </c>
      <c r="P27" s="5">
        <v>2669</v>
      </c>
      <c r="Q27" s="5" t="s">
        <v>33</v>
      </c>
      <c r="R27" s="2">
        <v>855131.35</v>
      </c>
      <c r="S27" s="2">
        <v>207362.35</v>
      </c>
      <c r="T27" s="1">
        <v>46001</v>
      </c>
      <c r="U27" s="5">
        <v>12</v>
      </c>
    </row>
    <row r="28" spans="1:24" x14ac:dyDescent="0.3">
      <c r="A28" s="5" t="s">
        <v>85</v>
      </c>
      <c r="B28" s="1">
        <v>45912</v>
      </c>
      <c r="C28" s="5" t="s">
        <v>27</v>
      </c>
      <c r="D28" s="5" t="s">
        <v>53</v>
      </c>
      <c r="E28" s="5" t="s">
        <v>20</v>
      </c>
      <c r="F28" s="5" t="s">
        <v>45</v>
      </c>
      <c r="G28" s="5" t="s">
        <v>31</v>
      </c>
      <c r="H28" s="5" t="s">
        <v>39</v>
      </c>
      <c r="I28" s="5">
        <v>222</v>
      </c>
      <c r="J28" s="5">
        <v>4857</v>
      </c>
      <c r="K28" s="5">
        <v>6408.58</v>
      </c>
      <c r="L28" s="5">
        <v>657</v>
      </c>
      <c r="M28" s="5">
        <v>202</v>
      </c>
      <c r="N28" s="5">
        <v>2</v>
      </c>
      <c r="O28" s="5" t="s">
        <v>24</v>
      </c>
      <c r="P28" s="5">
        <v>7965</v>
      </c>
      <c r="Q28" s="5" t="s">
        <v>46</v>
      </c>
      <c r="R28" s="2">
        <v>1422704.76</v>
      </c>
      <c r="S28" s="2">
        <v>344450.76</v>
      </c>
      <c r="T28" s="1">
        <v>45912</v>
      </c>
      <c r="U28" s="5">
        <v>9</v>
      </c>
    </row>
    <row r="29" spans="1:24" x14ac:dyDescent="0.3">
      <c r="A29" s="5" t="s">
        <v>86</v>
      </c>
      <c r="B29" s="1">
        <v>45764</v>
      </c>
      <c r="C29" s="5" t="s">
        <v>35</v>
      </c>
      <c r="D29" s="5" t="s">
        <v>53</v>
      </c>
      <c r="E29" s="5" t="s">
        <v>54</v>
      </c>
      <c r="F29" s="5" t="s">
        <v>87</v>
      </c>
      <c r="G29" s="5" t="s">
        <v>38</v>
      </c>
      <c r="H29" s="5" t="s">
        <v>51</v>
      </c>
      <c r="I29" s="5">
        <v>264</v>
      </c>
      <c r="J29" s="5">
        <v>3178</v>
      </c>
      <c r="K29" s="5">
        <v>4099.54</v>
      </c>
      <c r="L29" s="5">
        <v>1151</v>
      </c>
      <c r="M29" s="5">
        <v>156</v>
      </c>
      <c r="N29" s="5">
        <v>3</v>
      </c>
      <c r="O29" s="5" t="s">
        <v>32</v>
      </c>
      <c r="P29" s="5">
        <v>2147</v>
      </c>
      <c r="Q29" s="5" t="s">
        <v>33</v>
      </c>
      <c r="R29" s="2">
        <v>1082278.56</v>
      </c>
      <c r="S29" s="2">
        <v>243286.56</v>
      </c>
      <c r="T29" s="1">
        <v>45764</v>
      </c>
      <c r="U29" s="5">
        <v>4</v>
      </c>
    </row>
    <row r="30" spans="1:24" x14ac:dyDescent="0.3">
      <c r="A30" s="5" t="s">
        <v>88</v>
      </c>
      <c r="B30" s="1">
        <v>45857</v>
      </c>
      <c r="C30" s="5" t="s">
        <v>42</v>
      </c>
      <c r="D30" s="5" t="s">
        <v>53</v>
      </c>
      <c r="E30" s="5" t="s">
        <v>49</v>
      </c>
      <c r="F30" s="5" t="s">
        <v>89</v>
      </c>
      <c r="G30" s="5" t="s">
        <v>38</v>
      </c>
      <c r="H30" s="5" t="s">
        <v>51</v>
      </c>
      <c r="I30" s="5">
        <v>218</v>
      </c>
      <c r="J30" s="5">
        <v>2957</v>
      </c>
      <c r="K30" s="5">
        <v>4334.57</v>
      </c>
      <c r="L30" s="5">
        <v>1283</v>
      </c>
      <c r="M30" s="5">
        <v>280</v>
      </c>
      <c r="N30" s="5">
        <v>3</v>
      </c>
      <c r="O30" s="5" t="s">
        <v>32</v>
      </c>
      <c r="P30" s="5">
        <v>6580</v>
      </c>
      <c r="Q30" s="5" t="s">
        <v>33</v>
      </c>
      <c r="R30" s="2">
        <v>944936.26</v>
      </c>
      <c r="S30" s="2">
        <v>300310.26</v>
      </c>
      <c r="T30" s="1">
        <v>45857</v>
      </c>
      <c r="U30" s="5">
        <v>7</v>
      </c>
    </row>
    <row r="31" spans="1:24" x14ac:dyDescent="0.3">
      <c r="A31" s="5" t="s">
        <v>90</v>
      </c>
      <c r="B31" s="1">
        <v>45936</v>
      </c>
      <c r="C31" s="5" t="s">
        <v>18</v>
      </c>
      <c r="D31" s="5" t="s">
        <v>28</v>
      </c>
      <c r="E31" s="5" t="s">
        <v>29</v>
      </c>
      <c r="F31" s="5" t="s">
        <v>43</v>
      </c>
      <c r="G31" s="5" t="s">
        <v>38</v>
      </c>
      <c r="H31" s="5" t="s">
        <v>39</v>
      </c>
      <c r="I31" s="5">
        <v>234</v>
      </c>
      <c r="J31" s="5">
        <v>3831</v>
      </c>
      <c r="K31" s="5">
        <v>4947.67</v>
      </c>
      <c r="L31" s="5">
        <v>594</v>
      </c>
      <c r="M31" s="5">
        <v>194</v>
      </c>
      <c r="N31" s="5">
        <v>10</v>
      </c>
      <c r="O31" s="5" t="s">
        <v>24</v>
      </c>
      <c r="P31" s="5">
        <v>5789</v>
      </c>
      <c r="Q31" s="5" t="s">
        <v>40</v>
      </c>
      <c r="R31" s="2">
        <v>1157754.78</v>
      </c>
      <c r="S31" s="2">
        <v>261300.78</v>
      </c>
      <c r="T31" s="1">
        <v>45936</v>
      </c>
      <c r="U31" s="5">
        <v>10</v>
      </c>
    </row>
    <row r="32" spans="1:24" x14ac:dyDescent="0.3">
      <c r="A32" s="5" t="s">
        <v>91</v>
      </c>
      <c r="B32" s="1">
        <v>45824</v>
      </c>
      <c r="C32" s="5" t="s">
        <v>18</v>
      </c>
      <c r="D32" s="5" t="s">
        <v>53</v>
      </c>
      <c r="E32" s="5" t="s">
        <v>49</v>
      </c>
      <c r="F32" s="5" t="s">
        <v>50</v>
      </c>
      <c r="G32" s="5" t="s">
        <v>56</v>
      </c>
      <c r="H32" s="5" t="s">
        <v>23</v>
      </c>
      <c r="I32" s="5">
        <v>36</v>
      </c>
      <c r="J32" s="5">
        <v>3140</v>
      </c>
      <c r="K32" s="5">
        <v>4179.8</v>
      </c>
      <c r="L32" s="5">
        <v>283</v>
      </c>
      <c r="M32" s="5">
        <v>141</v>
      </c>
      <c r="N32" s="5">
        <v>8</v>
      </c>
      <c r="O32" s="5" t="s">
        <v>24</v>
      </c>
      <c r="P32" s="5">
        <v>1580</v>
      </c>
      <c r="Q32" s="5" t="s">
        <v>25</v>
      </c>
      <c r="R32" s="2">
        <v>150472.79999999999</v>
      </c>
      <c r="S32" s="2">
        <v>37432.800000000003</v>
      </c>
      <c r="T32" s="1">
        <v>45824</v>
      </c>
      <c r="U32" s="5">
        <v>6</v>
      </c>
    </row>
    <row r="33" spans="1:21" x14ac:dyDescent="0.3">
      <c r="A33" s="5" t="s">
        <v>92</v>
      </c>
      <c r="B33" s="1">
        <v>45871</v>
      </c>
      <c r="C33" s="5" t="s">
        <v>35</v>
      </c>
      <c r="D33" s="5" t="s">
        <v>19</v>
      </c>
      <c r="E33" s="5" t="s">
        <v>49</v>
      </c>
      <c r="F33" s="5" t="s">
        <v>65</v>
      </c>
      <c r="G33" s="5" t="s">
        <v>31</v>
      </c>
      <c r="H33" s="5" t="s">
        <v>51</v>
      </c>
      <c r="I33" s="5">
        <v>81</v>
      </c>
      <c r="J33" s="5">
        <v>1408</v>
      </c>
      <c r="K33" s="5">
        <v>2067.92</v>
      </c>
      <c r="L33" s="5">
        <v>1150</v>
      </c>
      <c r="M33" s="5">
        <v>107</v>
      </c>
      <c r="N33" s="5">
        <v>7</v>
      </c>
      <c r="O33" s="5" t="s">
        <v>24</v>
      </c>
      <c r="P33" s="5">
        <v>4580</v>
      </c>
      <c r="Q33" s="5" t="s">
        <v>25</v>
      </c>
      <c r="R33" s="2">
        <v>167501.51999999999</v>
      </c>
      <c r="S33" s="2">
        <v>53453.52</v>
      </c>
      <c r="T33" s="1">
        <v>45871</v>
      </c>
      <c r="U33" s="5">
        <v>8</v>
      </c>
    </row>
    <row r="34" spans="1:21" x14ac:dyDescent="0.3">
      <c r="A34" s="5" t="s">
        <v>93</v>
      </c>
      <c r="B34" s="1">
        <v>45902</v>
      </c>
      <c r="C34" s="5" t="s">
        <v>27</v>
      </c>
      <c r="D34" s="5" t="s">
        <v>28</v>
      </c>
      <c r="E34" s="5" t="s">
        <v>49</v>
      </c>
      <c r="F34" s="5" t="s">
        <v>94</v>
      </c>
      <c r="G34" s="5" t="s">
        <v>56</v>
      </c>
      <c r="H34" s="5" t="s">
        <v>23</v>
      </c>
      <c r="I34" s="5">
        <v>158</v>
      </c>
      <c r="J34" s="5">
        <v>1690</v>
      </c>
      <c r="K34" s="5">
        <v>2349.77</v>
      </c>
      <c r="L34" s="5">
        <v>175</v>
      </c>
      <c r="M34" s="5">
        <v>98</v>
      </c>
      <c r="N34" s="5">
        <v>10</v>
      </c>
      <c r="O34" s="5" t="s">
        <v>24</v>
      </c>
      <c r="P34" s="5">
        <v>5623</v>
      </c>
      <c r="Q34" s="5" t="s">
        <v>46</v>
      </c>
      <c r="R34" s="2">
        <v>371263.66</v>
      </c>
      <c r="S34" s="2">
        <v>104243.66</v>
      </c>
      <c r="T34" s="1">
        <v>45902</v>
      </c>
      <c r="U34" s="5">
        <v>9</v>
      </c>
    </row>
    <row r="35" spans="1:21" x14ac:dyDescent="0.3">
      <c r="A35" s="5" t="s">
        <v>95</v>
      </c>
      <c r="B35" s="1">
        <v>45999</v>
      </c>
      <c r="C35" s="5" t="s">
        <v>18</v>
      </c>
      <c r="D35" s="5" t="s">
        <v>36</v>
      </c>
      <c r="E35" s="5" t="s">
        <v>49</v>
      </c>
      <c r="F35" s="5" t="s">
        <v>94</v>
      </c>
      <c r="G35" s="5" t="s">
        <v>31</v>
      </c>
      <c r="H35" s="5" t="s">
        <v>23</v>
      </c>
      <c r="I35" s="5">
        <v>365</v>
      </c>
      <c r="J35" s="5">
        <v>732</v>
      </c>
      <c r="K35" s="5">
        <v>938.57</v>
      </c>
      <c r="L35" s="5">
        <v>487</v>
      </c>
      <c r="M35" s="5">
        <v>294</v>
      </c>
      <c r="N35" s="5">
        <v>1</v>
      </c>
      <c r="O35" s="5" t="s">
        <v>32</v>
      </c>
      <c r="P35" s="5">
        <v>1148</v>
      </c>
      <c r="Q35" s="5" t="s">
        <v>25</v>
      </c>
      <c r="R35" s="2">
        <v>342578.05</v>
      </c>
      <c r="S35" s="2">
        <v>75398.05</v>
      </c>
      <c r="T35" s="1">
        <v>45999</v>
      </c>
      <c r="U35" s="5">
        <v>12</v>
      </c>
    </row>
    <row r="36" spans="1:21" x14ac:dyDescent="0.3">
      <c r="A36" s="5" t="s">
        <v>96</v>
      </c>
      <c r="B36" s="1">
        <v>45949</v>
      </c>
      <c r="C36" s="5" t="s">
        <v>35</v>
      </c>
      <c r="D36" s="5" t="s">
        <v>62</v>
      </c>
      <c r="E36" s="5" t="s">
        <v>49</v>
      </c>
      <c r="F36" s="5" t="s">
        <v>50</v>
      </c>
      <c r="G36" s="5" t="s">
        <v>31</v>
      </c>
      <c r="H36" s="5" t="s">
        <v>39</v>
      </c>
      <c r="I36" s="5">
        <v>376</v>
      </c>
      <c r="J36" s="5">
        <v>3658</v>
      </c>
      <c r="K36" s="5">
        <v>4907.7</v>
      </c>
      <c r="L36" s="5">
        <v>1391</v>
      </c>
      <c r="M36" s="5">
        <v>178</v>
      </c>
      <c r="N36" s="5">
        <v>9</v>
      </c>
      <c r="O36" s="5" t="s">
        <v>24</v>
      </c>
      <c r="P36" s="5">
        <v>7052</v>
      </c>
      <c r="Q36" s="5" t="s">
        <v>33</v>
      </c>
      <c r="R36" s="2">
        <v>1845295.2</v>
      </c>
      <c r="S36" s="2">
        <v>469887.2</v>
      </c>
      <c r="T36" s="1">
        <v>45949</v>
      </c>
      <c r="U36" s="5">
        <v>10</v>
      </c>
    </row>
    <row r="37" spans="1:21" x14ac:dyDescent="0.3">
      <c r="A37" s="5" t="s">
        <v>97</v>
      </c>
      <c r="B37" s="1">
        <v>45755</v>
      </c>
      <c r="C37" s="5" t="s">
        <v>18</v>
      </c>
      <c r="D37" s="5" t="s">
        <v>62</v>
      </c>
      <c r="E37" s="5" t="s">
        <v>49</v>
      </c>
      <c r="F37" s="5" t="s">
        <v>75</v>
      </c>
      <c r="G37" s="5" t="s">
        <v>38</v>
      </c>
      <c r="H37" s="5" t="s">
        <v>51</v>
      </c>
      <c r="I37" s="5">
        <v>85</v>
      </c>
      <c r="J37" s="5">
        <v>889</v>
      </c>
      <c r="K37" s="5">
        <v>1279.44</v>
      </c>
      <c r="L37" s="5">
        <v>1039</v>
      </c>
      <c r="M37" s="5">
        <v>83</v>
      </c>
      <c r="N37" s="5">
        <v>5</v>
      </c>
      <c r="O37" s="5" t="s">
        <v>32</v>
      </c>
      <c r="P37" s="5">
        <v>3897</v>
      </c>
      <c r="Q37" s="5" t="s">
        <v>33</v>
      </c>
      <c r="R37" s="2">
        <v>108752.4</v>
      </c>
      <c r="S37" s="2">
        <v>33187.4</v>
      </c>
      <c r="T37" s="1">
        <v>45755</v>
      </c>
      <c r="U37" s="5">
        <v>4</v>
      </c>
    </row>
    <row r="38" spans="1:21" x14ac:dyDescent="0.3">
      <c r="A38" s="5" t="s">
        <v>98</v>
      </c>
      <c r="B38" s="1">
        <v>45739</v>
      </c>
      <c r="C38" s="5" t="s">
        <v>27</v>
      </c>
      <c r="D38" s="5" t="s">
        <v>19</v>
      </c>
      <c r="E38" s="5" t="s">
        <v>54</v>
      </c>
      <c r="F38" s="5" t="s">
        <v>87</v>
      </c>
      <c r="G38" s="5" t="s">
        <v>38</v>
      </c>
      <c r="H38" s="5" t="s">
        <v>51</v>
      </c>
      <c r="I38" s="5">
        <v>445</v>
      </c>
      <c r="J38" s="5">
        <v>2923</v>
      </c>
      <c r="K38" s="5">
        <v>3746.04</v>
      </c>
      <c r="L38" s="5">
        <v>169</v>
      </c>
      <c r="M38" s="5">
        <v>284</v>
      </c>
      <c r="N38" s="5">
        <v>5</v>
      </c>
      <c r="O38" s="5" t="s">
        <v>32</v>
      </c>
      <c r="P38" s="5">
        <v>1154</v>
      </c>
      <c r="Q38" s="5" t="s">
        <v>33</v>
      </c>
      <c r="R38" s="2">
        <v>1666987.8</v>
      </c>
      <c r="S38" s="2">
        <v>366252.79999999999</v>
      </c>
      <c r="T38" s="1">
        <v>45739</v>
      </c>
      <c r="U38" s="5">
        <v>3</v>
      </c>
    </row>
    <row r="39" spans="1:21" x14ac:dyDescent="0.3">
      <c r="A39" s="5" t="s">
        <v>99</v>
      </c>
      <c r="B39" s="1">
        <v>45788</v>
      </c>
      <c r="C39" s="5" t="s">
        <v>35</v>
      </c>
      <c r="D39" s="5" t="s">
        <v>19</v>
      </c>
      <c r="E39" s="5" t="s">
        <v>20</v>
      </c>
      <c r="F39" s="5" t="s">
        <v>100</v>
      </c>
      <c r="G39" s="5" t="s">
        <v>56</v>
      </c>
      <c r="H39" s="5" t="s">
        <v>39</v>
      </c>
      <c r="I39" s="5">
        <v>426</v>
      </c>
      <c r="J39" s="5">
        <v>3580</v>
      </c>
      <c r="K39" s="5">
        <v>4915.8599999999997</v>
      </c>
      <c r="L39" s="5">
        <v>1660</v>
      </c>
      <c r="M39" s="5">
        <v>133</v>
      </c>
      <c r="N39" s="5">
        <v>10</v>
      </c>
      <c r="O39" s="5" t="s">
        <v>24</v>
      </c>
      <c r="P39" s="5">
        <v>7875</v>
      </c>
      <c r="Q39" s="5" t="s">
        <v>40</v>
      </c>
      <c r="R39" s="2">
        <v>2094156.36</v>
      </c>
      <c r="S39" s="2">
        <v>569076.36</v>
      </c>
      <c r="T39" s="1">
        <v>45788</v>
      </c>
      <c r="U39" s="5">
        <v>5</v>
      </c>
    </row>
    <row r="40" spans="1:21" x14ac:dyDescent="0.3">
      <c r="A40" s="5" t="s">
        <v>101</v>
      </c>
      <c r="B40" s="1">
        <v>45736</v>
      </c>
      <c r="C40" s="5" t="s">
        <v>27</v>
      </c>
      <c r="D40" s="5" t="s">
        <v>19</v>
      </c>
      <c r="E40" s="5" t="s">
        <v>49</v>
      </c>
      <c r="F40" s="5" t="s">
        <v>65</v>
      </c>
      <c r="G40" s="5" t="s">
        <v>38</v>
      </c>
      <c r="H40" s="5" t="s">
        <v>23</v>
      </c>
      <c r="I40" s="5">
        <v>115</v>
      </c>
      <c r="J40" s="5">
        <v>114</v>
      </c>
      <c r="K40" s="5">
        <v>148.57</v>
      </c>
      <c r="L40" s="5">
        <v>1631</v>
      </c>
      <c r="M40" s="5">
        <v>270</v>
      </c>
      <c r="N40" s="5">
        <v>9</v>
      </c>
      <c r="O40" s="5" t="s">
        <v>24</v>
      </c>
      <c r="P40" s="5">
        <v>3611</v>
      </c>
      <c r="Q40" s="5" t="s">
        <v>40</v>
      </c>
      <c r="R40" s="2">
        <v>17085.55</v>
      </c>
      <c r="S40" s="2">
        <v>3975.55</v>
      </c>
      <c r="T40" s="1">
        <v>45736</v>
      </c>
      <c r="U40" s="5">
        <v>3</v>
      </c>
    </row>
    <row r="41" spans="1:21" x14ac:dyDescent="0.3">
      <c r="A41" s="5" t="s">
        <v>102</v>
      </c>
      <c r="B41" s="1">
        <v>45848</v>
      </c>
      <c r="C41" s="5" t="s">
        <v>35</v>
      </c>
      <c r="D41" s="5" t="s">
        <v>36</v>
      </c>
      <c r="E41" s="5" t="s">
        <v>29</v>
      </c>
      <c r="F41" s="5" t="s">
        <v>43</v>
      </c>
      <c r="G41" s="5" t="s">
        <v>22</v>
      </c>
      <c r="H41" s="5" t="s">
        <v>39</v>
      </c>
      <c r="I41" s="5">
        <v>457</v>
      </c>
      <c r="J41" s="5">
        <v>1110</v>
      </c>
      <c r="K41" s="5">
        <v>1384.8</v>
      </c>
      <c r="L41" s="5">
        <v>787</v>
      </c>
      <c r="M41" s="5">
        <v>275</v>
      </c>
      <c r="N41" s="5">
        <v>4</v>
      </c>
      <c r="O41" s="5" t="s">
        <v>32</v>
      </c>
      <c r="P41" s="5">
        <v>1258</v>
      </c>
      <c r="Q41" s="5" t="s">
        <v>33</v>
      </c>
      <c r="R41" s="2">
        <v>632853.6</v>
      </c>
      <c r="S41" s="2">
        <v>125583.6</v>
      </c>
      <c r="T41" s="1">
        <v>45848</v>
      </c>
      <c r="U41" s="5">
        <v>7</v>
      </c>
    </row>
    <row r="42" spans="1:21" x14ac:dyDescent="0.3">
      <c r="A42" s="5" t="s">
        <v>103</v>
      </c>
      <c r="B42" s="1">
        <v>46022</v>
      </c>
      <c r="C42" s="5" t="s">
        <v>35</v>
      </c>
      <c r="D42" s="5" t="s">
        <v>36</v>
      </c>
      <c r="E42" s="5" t="s">
        <v>29</v>
      </c>
      <c r="F42" s="5" t="s">
        <v>69</v>
      </c>
      <c r="G42" s="5" t="s">
        <v>38</v>
      </c>
      <c r="H42" s="5" t="s">
        <v>23</v>
      </c>
      <c r="I42" s="5">
        <v>395</v>
      </c>
      <c r="J42" s="5">
        <v>644</v>
      </c>
      <c r="K42" s="5">
        <v>759.41</v>
      </c>
      <c r="L42" s="5">
        <v>964</v>
      </c>
      <c r="M42" s="5">
        <v>181</v>
      </c>
      <c r="N42" s="5">
        <v>9</v>
      </c>
      <c r="O42" s="5" t="s">
        <v>24</v>
      </c>
      <c r="P42" s="5">
        <v>7680</v>
      </c>
      <c r="Q42" s="5" t="s">
        <v>46</v>
      </c>
      <c r="R42" s="2">
        <v>299966.95</v>
      </c>
      <c r="S42" s="2">
        <v>45586.95</v>
      </c>
      <c r="T42" s="1">
        <v>46022</v>
      </c>
      <c r="U42" s="5">
        <v>12</v>
      </c>
    </row>
    <row r="43" spans="1:21" x14ac:dyDescent="0.3">
      <c r="A43" s="5" t="s">
        <v>104</v>
      </c>
      <c r="B43" s="1">
        <v>45882</v>
      </c>
      <c r="C43" s="5" t="s">
        <v>18</v>
      </c>
      <c r="D43" s="5" t="s">
        <v>53</v>
      </c>
      <c r="E43" s="5" t="s">
        <v>49</v>
      </c>
      <c r="F43" s="5" t="s">
        <v>89</v>
      </c>
      <c r="G43" s="5" t="s">
        <v>38</v>
      </c>
      <c r="H43" s="5" t="s">
        <v>23</v>
      </c>
      <c r="I43" s="5">
        <v>185</v>
      </c>
      <c r="J43" s="5">
        <v>3535</v>
      </c>
      <c r="K43" s="5">
        <v>4624.29</v>
      </c>
      <c r="L43" s="5">
        <v>1333</v>
      </c>
      <c r="M43" s="5">
        <v>139</v>
      </c>
      <c r="N43" s="5">
        <v>3</v>
      </c>
      <c r="O43" s="5" t="s">
        <v>32</v>
      </c>
      <c r="P43" s="5">
        <v>4367</v>
      </c>
      <c r="Q43" s="5" t="s">
        <v>33</v>
      </c>
      <c r="R43" s="2">
        <v>855493.65</v>
      </c>
      <c r="S43" s="2">
        <v>201518.65</v>
      </c>
      <c r="T43" s="1">
        <v>45882</v>
      </c>
      <c r="U43" s="5">
        <v>8</v>
      </c>
    </row>
    <row r="44" spans="1:21" x14ac:dyDescent="0.3">
      <c r="A44" s="5" t="s">
        <v>105</v>
      </c>
      <c r="B44" s="1">
        <v>45885</v>
      </c>
      <c r="C44" s="5" t="s">
        <v>27</v>
      </c>
      <c r="D44" s="5" t="s">
        <v>62</v>
      </c>
      <c r="E44" s="5" t="s">
        <v>49</v>
      </c>
      <c r="F44" s="5" t="s">
        <v>50</v>
      </c>
      <c r="G44" s="5" t="s">
        <v>31</v>
      </c>
      <c r="H44" s="5" t="s">
        <v>23</v>
      </c>
      <c r="I44" s="5">
        <v>213</v>
      </c>
      <c r="J44" s="5">
        <v>1403</v>
      </c>
      <c r="K44" s="5">
        <v>2074.98</v>
      </c>
      <c r="L44" s="5">
        <v>1575</v>
      </c>
      <c r="M44" s="5">
        <v>260</v>
      </c>
      <c r="N44" s="5">
        <v>6</v>
      </c>
      <c r="O44" s="5" t="s">
        <v>24</v>
      </c>
      <c r="P44" s="5">
        <v>678</v>
      </c>
      <c r="Q44" s="5" t="s">
        <v>46</v>
      </c>
      <c r="R44" s="2">
        <v>441970.74</v>
      </c>
      <c r="S44" s="2">
        <v>143131.74</v>
      </c>
      <c r="T44" s="1">
        <v>45885</v>
      </c>
      <c r="U44" s="5">
        <v>8</v>
      </c>
    </row>
    <row r="45" spans="1:21" x14ac:dyDescent="0.3">
      <c r="A45" s="5" t="s">
        <v>106</v>
      </c>
      <c r="B45" s="1">
        <v>45838</v>
      </c>
      <c r="C45" s="5" t="s">
        <v>42</v>
      </c>
      <c r="D45" s="5" t="s">
        <v>62</v>
      </c>
      <c r="E45" s="5" t="s">
        <v>49</v>
      </c>
      <c r="F45" s="5" t="s">
        <v>75</v>
      </c>
      <c r="G45" s="5" t="s">
        <v>38</v>
      </c>
      <c r="H45" s="5" t="s">
        <v>39</v>
      </c>
      <c r="I45" s="5">
        <v>310</v>
      </c>
      <c r="J45" s="5">
        <v>1642</v>
      </c>
      <c r="K45" s="5">
        <v>2443.65</v>
      </c>
      <c r="L45" s="5">
        <v>1086</v>
      </c>
      <c r="M45" s="5">
        <v>148</v>
      </c>
      <c r="N45" s="5">
        <v>2</v>
      </c>
      <c r="O45" s="5" t="s">
        <v>32</v>
      </c>
      <c r="P45" s="5">
        <v>6562</v>
      </c>
      <c r="Q45" s="5" t="s">
        <v>33</v>
      </c>
      <c r="R45" s="2">
        <v>757531.5</v>
      </c>
      <c r="S45" s="2">
        <v>248511.5</v>
      </c>
      <c r="T45" s="1">
        <v>45838</v>
      </c>
      <c r="U45" s="5">
        <v>6</v>
      </c>
    </row>
    <row r="46" spans="1:21" x14ac:dyDescent="0.3">
      <c r="A46" s="5" t="s">
        <v>107</v>
      </c>
      <c r="B46" s="1">
        <v>45943</v>
      </c>
      <c r="C46" s="5" t="s">
        <v>27</v>
      </c>
      <c r="D46" s="5" t="s">
        <v>28</v>
      </c>
      <c r="E46" s="5" t="s">
        <v>54</v>
      </c>
      <c r="F46" s="5" t="s">
        <v>87</v>
      </c>
      <c r="G46" s="5" t="s">
        <v>31</v>
      </c>
      <c r="H46" s="5" t="s">
        <v>23</v>
      </c>
      <c r="I46" s="5">
        <v>401</v>
      </c>
      <c r="J46" s="5">
        <v>1695</v>
      </c>
      <c r="K46" s="5">
        <v>2360.77</v>
      </c>
      <c r="L46" s="5">
        <v>1902</v>
      </c>
      <c r="M46" s="5">
        <v>135</v>
      </c>
      <c r="N46" s="5">
        <v>4</v>
      </c>
      <c r="O46" s="5" t="s">
        <v>32</v>
      </c>
      <c r="P46" s="5">
        <v>7509</v>
      </c>
      <c r="Q46" s="5" t="s">
        <v>33</v>
      </c>
      <c r="R46" s="2">
        <v>946668.77</v>
      </c>
      <c r="S46" s="2">
        <v>266973.77</v>
      </c>
      <c r="T46" s="1">
        <v>45943</v>
      </c>
      <c r="U46" s="5">
        <v>10</v>
      </c>
    </row>
    <row r="47" spans="1:21" x14ac:dyDescent="0.3">
      <c r="A47" s="5" t="s">
        <v>108</v>
      </c>
      <c r="B47" s="1">
        <v>45728</v>
      </c>
      <c r="C47" s="5" t="s">
        <v>35</v>
      </c>
      <c r="D47" s="5" t="s">
        <v>53</v>
      </c>
      <c r="E47" s="5" t="s">
        <v>49</v>
      </c>
      <c r="F47" s="5" t="s">
        <v>75</v>
      </c>
      <c r="G47" s="5" t="s">
        <v>38</v>
      </c>
      <c r="H47" s="5" t="s">
        <v>51</v>
      </c>
      <c r="I47" s="5">
        <v>11</v>
      </c>
      <c r="J47" s="5">
        <v>202</v>
      </c>
      <c r="K47" s="5">
        <v>263.99</v>
      </c>
      <c r="L47" s="5">
        <v>1080</v>
      </c>
      <c r="M47" s="5">
        <v>286</v>
      </c>
      <c r="N47" s="5">
        <v>4</v>
      </c>
      <c r="O47" s="5" t="s">
        <v>24</v>
      </c>
      <c r="P47" s="5">
        <v>7679</v>
      </c>
      <c r="Q47" s="5" t="s">
        <v>33</v>
      </c>
      <c r="R47" s="2">
        <v>2903.89</v>
      </c>
      <c r="S47" s="2">
        <v>681.89</v>
      </c>
      <c r="T47" s="1">
        <v>45728</v>
      </c>
      <c r="U47" s="5">
        <v>3</v>
      </c>
    </row>
    <row r="48" spans="1:21" x14ac:dyDescent="0.3">
      <c r="A48" s="5" t="s">
        <v>109</v>
      </c>
      <c r="B48" s="1">
        <v>46019</v>
      </c>
      <c r="C48" s="5" t="s">
        <v>42</v>
      </c>
      <c r="D48" s="5" t="s">
        <v>19</v>
      </c>
      <c r="E48" s="5" t="s">
        <v>29</v>
      </c>
      <c r="F48" s="5" t="s">
        <v>69</v>
      </c>
      <c r="G48" s="5" t="s">
        <v>56</v>
      </c>
      <c r="H48" s="5" t="s">
        <v>23</v>
      </c>
      <c r="I48" s="5">
        <v>283</v>
      </c>
      <c r="J48" s="5">
        <v>114</v>
      </c>
      <c r="K48" s="5">
        <v>153.94</v>
      </c>
      <c r="L48" s="5">
        <v>561</v>
      </c>
      <c r="M48" s="5">
        <v>96</v>
      </c>
      <c r="N48" s="5">
        <v>10</v>
      </c>
      <c r="O48" s="5" t="s">
        <v>24</v>
      </c>
      <c r="P48" s="5">
        <v>3228</v>
      </c>
      <c r="Q48" s="5" t="s">
        <v>25</v>
      </c>
      <c r="R48" s="2">
        <v>43565.02</v>
      </c>
      <c r="S48" s="2">
        <v>11303.02</v>
      </c>
      <c r="T48" s="1">
        <v>46019</v>
      </c>
      <c r="U48" s="5">
        <v>12</v>
      </c>
    </row>
    <row r="49" spans="1:21" x14ac:dyDescent="0.3">
      <c r="A49" s="5" t="s">
        <v>110</v>
      </c>
      <c r="B49" s="1">
        <v>45684</v>
      </c>
      <c r="C49" s="5" t="s">
        <v>27</v>
      </c>
      <c r="D49" s="5" t="s">
        <v>28</v>
      </c>
      <c r="E49" s="5" t="s">
        <v>20</v>
      </c>
      <c r="F49" s="5" t="s">
        <v>45</v>
      </c>
      <c r="G49" s="5" t="s">
        <v>56</v>
      </c>
      <c r="H49" s="5" t="s">
        <v>39</v>
      </c>
      <c r="I49" s="5">
        <v>399</v>
      </c>
      <c r="J49" s="5">
        <v>1311</v>
      </c>
      <c r="K49" s="5">
        <v>1635.89</v>
      </c>
      <c r="L49" s="5">
        <v>499</v>
      </c>
      <c r="M49" s="5">
        <v>237</v>
      </c>
      <c r="N49" s="5">
        <v>7</v>
      </c>
      <c r="O49" s="5" t="s">
        <v>24</v>
      </c>
      <c r="P49" s="5">
        <v>3126</v>
      </c>
      <c r="Q49" s="5" t="s">
        <v>46</v>
      </c>
      <c r="R49" s="2">
        <v>652720.11</v>
      </c>
      <c r="S49" s="2">
        <v>129631.11</v>
      </c>
      <c r="T49" s="1">
        <v>45684</v>
      </c>
      <c r="U49" s="5">
        <v>1</v>
      </c>
    </row>
    <row r="50" spans="1:21" x14ac:dyDescent="0.3">
      <c r="A50" s="5" t="s">
        <v>111</v>
      </c>
      <c r="B50" s="1">
        <v>45741</v>
      </c>
      <c r="C50" s="5" t="s">
        <v>42</v>
      </c>
      <c r="D50" s="5" t="s">
        <v>28</v>
      </c>
      <c r="E50" s="5" t="s">
        <v>20</v>
      </c>
      <c r="F50" s="5" t="s">
        <v>100</v>
      </c>
      <c r="G50" s="5" t="s">
        <v>38</v>
      </c>
      <c r="H50" s="5" t="s">
        <v>51</v>
      </c>
      <c r="I50" s="5">
        <v>206</v>
      </c>
      <c r="J50" s="5">
        <v>2629</v>
      </c>
      <c r="K50" s="5">
        <v>3346.09</v>
      </c>
      <c r="L50" s="5">
        <v>297</v>
      </c>
      <c r="M50" s="5">
        <v>147</v>
      </c>
      <c r="N50" s="5">
        <v>6</v>
      </c>
      <c r="O50" s="5" t="s">
        <v>24</v>
      </c>
      <c r="P50" s="5">
        <v>3591</v>
      </c>
      <c r="Q50" s="5" t="s">
        <v>40</v>
      </c>
      <c r="R50" s="2">
        <v>689294.54</v>
      </c>
      <c r="S50" s="2">
        <v>147720.54</v>
      </c>
      <c r="T50" s="1">
        <v>45741</v>
      </c>
      <c r="U50" s="5">
        <v>3</v>
      </c>
    </row>
    <row r="51" spans="1:21" x14ac:dyDescent="0.3">
      <c r="A51" s="5" t="s">
        <v>112</v>
      </c>
      <c r="B51" s="1">
        <v>45869</v>
      </c>
      <c r="C51" s="5" t="s">
        <v>35</v>
      </c>
      <c r="D51" s="5" t="s">
        <v>62</v>
      </c>
      <c r="E51" s="5" t="s">
        <v>54</v>
      </c>
      <c r="F51" s="5" t="s">
        <v>63</v>
      </c>
      <c r="G51" s="5" t="s">
        <v>31</v>
      </c>
      <c r="H51" s="5" t="s">
        <v>23</v>
      </c>
      <c r="I51" s="5">
        <v>422</v>
      </c>
      <c r="J51" s="5">
        <v>3737</v>
      </c>
      <c r="K51" s="5">
        <v>4374.62</v>
      </c>
      <c r="L51" s="5">
        <v>424</v>
      </c>
      <c r="M51" s="5">
        <v>122</v>
      </c>
      <c r="N51" s="5">
        <v>3</v>
      </c>
      <c r="O51" s="5" t="s">
        <v>32</v>
      </c>
      <c r="P51" s="5">
        <v>1956</v>
      </c>
      <c r="Q51" s="5" t="s">
        <v>33</v>
      </c>
      <c r="R51" s="2">
        <v>1846089.64</v>
      </c>
      <c r="S51" s="2">
        <v>269075.64</v>
      </c>
      <c r="T51" s="1">
        <v>45869</v>
      </c>
      <c r="U51" s="5">
        <v>7</v>
      </c>
    </row>
    <row r="52" spans="1:21" x14ac:dyDescent="0.3">
      <c r="A52" s="5" t="s">
        <v>113</v>
      </c>
      <c r="B52" s="1">
        <v>45922</v>
      </c>
      <c r="C52" s="5" t="s">
        <v>27</v>
      </c>
      <c r="D52" s="5" t="s">
        <v>62</v>
      </c>
      <c r="E52" s="5" t="s">
        <v>20</v>
      </c>
      <c r="F52" s="5" t="s">
        <v>45</v>
      </c>
      <c r="G52" s="5" t="s">
        <v>38</v>
      </c>
      <c r="H52" s="5" t="s">
        <v>39</v>
      </c>
      <c r="I52" s="5">
        <v>123</v>
      </c>
      <c r="J52" s="5">
        <v>2220</v>
      </c>
      <c r="K52" s="5">
        <v>3118.14</v>
      </c>
      <c r="L52" s="5">
        <v>1881</v>
      </c>
      <c r="M52" s="5">
        <v>287</v>
      </c>
      <c r="N52" s="5">
        <v>5</v>
      </c>
      <c r="O52" s="5" t="s">
        <v>32</v>
      </c>
      <c r="P52" s="5">
        <v>962</v>
      </c>
      <c r="Q52" s="5" t="s">
        <v>33</v>
      </c>
      <c r="R52" s="2">
        <v>383531.22</v>
      </c>
      <c r="S52" s="2">
        <v>110471.22</v>
      </c>
      <c r="T52" s="1">
        <v>45922</v>
      </c>
      <c r="U52" s="5">
        <v>9</v>
      </c>
    </row>
    <row r="53" spans="1:21" x14ac:dyDescent="0.3">
      <c r="A53" s="5" t="s">
        <v>114</v>
      </c>
      <c r="B53" s="1">
        <v>45992</v>
      </c>
      <c r="C53" s="5" t="s">
        <v>35</v>
      </c>
      <c r="D53" s="5" t="s">
        <v>36</v>
      </c>
      <c r="E53" s="5" t="s">
        <v>20</v>
      </c>
      <c r="F53" s="5" t="s">
        <v>37</v>
      </c>
      <c r="G53" s="5" t="s">
        <v>56</v>
      </c>
      <c r="H53" s="5" t="s">
        <v>39</v>
      </c>
      <c r="I53" s="5">
        <v>290</v>
      </c>
      <c r="J53" s="5">
        <v>3793</v>
      </c>
      <c r="K53" s="5">
        <v>4831.43</v>
      </c>
      <c r="L53" s="5">
        <v>330</v>
      </c>
      <c r="M53" s="5">
        <v>178</v>
      </c>
      <c r="N53" s="5">
        <v>10</v>
      </c>
      <c r="O53" s="5" t="s">
        <v>24</v>
      </c>
      <c r="P53" s="5">
        <v>6200</v>
      </c>
      <c r="Q53" s="5" t="s">
        <v>40</v>
      </c>
      <c r="R53" s="2">
        <v>1401114.7</v>
      </c>
      <c r="S53" s="2">
        <v>301144.7</v>
      </c>
      <c r="T53" s="1">
        <v>45992</v>
      </c>
      <c r="U53" s="5">
        <v>12</v>
      </c>
    </row>
    <row r="54" spans="1:21" x14ac:dyDescent="0.3">
      <c r="A54" s="5" t="s">
        <v>115</v>
      </c>
      <c r="B54" s="1">
        <v>45785</v>
      </c>
      <c r="C54" s="5" t="s">
        <v>42</v>
      </c>
      <c r="D54" s="5" t="s">
        <v>19</v>
      </c>
      <c r="E54" s="5" t="s">
        <v>29</v>
      </c>
      <c r="F54" s="5" t="s">
        <v>58</v>
      </c>
      <c r="G54" s="5" t="s">
        <v>22</v>
      </c>
      <c r="H54" s="5" t="s">
        <v>39</v>
      </c>
      <c r="I54" s="5">
        <v>438</v>
      </c>
      <c r="J54" s="5">
        <v>1612</v>
      </c>
      <c r="K54" s="5">
        <v>2315.39</v>
      </c>
      <c r="L54" s="5">
        <v>1519</v>
      </c>
      <c r="M54" s="5">
        <v>174</v>
      </c>
      <c r="N54" s="5">
        <v>7</v>
      </c>
      <c r="O54" s="5" t="s">
        <v>24</v>
      </c>
      <c r="P54" s="5">
        <v>1758</v>
      </c>
      <c r="Q54" s="5" t="s">
        <v>40</v>
      </c>
      <c r="R54" s="2">
        <v>1014140.82</v>
      </c>
      <c r="S54" s="2">
        <v>308084.82</v>
      </c>
      <c r="T54" s="1">
        <v>45785</v>
      </c>
      <c r="U54" s="5">
        <v>5</v>
      </c>
    </row>
    <row r="55" spans="1:21" x14ac:dyDescent="0.3">
      <c r="A55" s="5" t="s">
        <v>116</v>
      </c>
      <c r="B55" s="1">
        <v>45944</v>
      </c>
      <c r="C55" s="5" t="s">
        <v>35</v>
      </c>
      <c r="D55" s="5" t="s">
        <v>36</v>
      </c>
      <c r="E55" s="5" t="s">
        <v>20</v>
      </c>
      <c r="F55" s="5" t="s">
        <v>45</v>
      </c>
      <c r="G55" s="5" t="s">
        <v>31</v>
      </c>
      <c r="H55" s="5" t="s">
        <v>51</v>
      </c>
      <c r="I55" s="5">
        <v>201</v>
      </c>
      <c r="J55" s="5">
        <v>3538</v>
      </c>
      <c r="K55" s="5">
        <v>4091.7</v>
      </c>
      <c r="L55" s="5">
        <v>1099</v>
      </c>
      <c r="M55" s="5">
        <v>186</v>
      </c>
      <c r="N55" s="5">
        <v>10</v>
      </c>
      <c r="O55" s="5" t="s">
        <v>24</v>
      </c>
      <c r="P55" s="5">
        <v>840</v>
      </c>
      <c r="Q55" s="5" t="s">
        <v>40</v>
      </c>
      <c r="R55" s="2">
        <v>822431.7</v>
      </c>
      <c r="S55" s="2">
        <v>111293.7</v>
      </c>
      <c r="T55" s="1">
        <v>45944</v>
      </c>
      <c r="U55" s="5">
        <v>10</v>
      </c>
    </row>
    <row r="56" spans="1:21" x14ac:dyDescent="0.3">
      <c r="A56" s="5" t="s">
        <v>117</v>
      </c>
      <c r="B56" s="1">
        <v>45744</v>
      </c>
      <c r="C56" s="5" t="s">
        <v>27</v>
      </c>
      <c r="D56" s="5" t="s">
        <v>62</v>
      </c>
      <c r="E56" s="5" t="s">
        <v>49</v>
      </c>
      <c r="F56" s="5" t="s">
        <v>89</v>
      </c>
      <c r="G56" s="5" t="s">
        <v>56</v>
      </c>
      <c r="H56" s="5" t="s">
        <v>51</v>
      </c>
      <c r="I56" s="5">
        <v>143</v>
      </c>
      <c r="J56" s="5">
        <v>499</v>
      </c>
      <c r="K56" s="5">
        <v>724.83</v>
      </c>
      <c r="L56" s="5">
        <v>1729</v>
      </c>
      <c r="M56" s="5">
        <v>182</v>
      </c>
      <c r="N56" s="5">
        <v>7</v>
      </c>
      <c r="O56" s="5" t="s">
        <v>24</v>
      </c>
      <c r="P56" s="5">
        <v>1036</v>
      </c>
      <c r="Q56" s="5" t="s">
        <v>40</v>
      </c>
      <c r="R56" s="2">
        <v>103650.69</v>
      </c>
      <c r="S56" s="2">
        <v>32293.69</v>
      </c>
      <c r="T56" s="1">
        <v>45744</v>
      </c>
      <c r="U56" s="5">
        <v>3</v>
      </c>
    </row>
    <row r="57" spans="1:21" x14ac:dyDescent="0.3">
      <c r="A57" s="5" t="s">
        <v>118</v>
      </c>
      <c r="B57" s="1">
        <v>45863</v>
      </c>
      <c r="C57" s="5" t="s">
        <v>27</v>
      </c>
      <c r="D57" s="5" t="s">
        <v>62</v>
      </c>
      <c r="E57" s="5" t="s">
        <v>29</v>
      </c>
      <c r="F57" s="5" t="s">
        <v>43</v>
      </c>
      <c r="G57" s="5" t="s">
        <v>56</v>
      </c>
      <c r="H57" s="5" t="s">
        <v>39</v>
      </c>
      <c r="I57" s="5">
        <v>307</v>
      </c>
      <c r="J57" s="5">
        <v>1911</v>
      </c>
      <c r="K57" s="5">
        <v>2236.66</v>
      </c>
      <c r="L57" s="5">
        <v>207</v>
      </c>
      <c r="M57" s="5">
        <v>90</v>
      </c>
      <c r="N57" s="5">
        <v>10</v>
      </c>
      <c r="O57" s="5" t="s">
        <v>24</v>
      </c>
      <c r="P57" s="5">
        <v>7313</v>
      </c>
      <c r="Q57" s="5" t="s">
        <v>33</v>
      </c>
      <c r="R57" s="2">
        <v>686654.62</v>
      </c>
      <c r="S57" s="2">
        <v>99977.62</v>
      </c>
      <c r="T57" s="1">
        <v>45863</v>
      </c>
      <c r="U57" s="5">
        <v>7</v>
      </c>
    </row>
    <row r="58" spans="1:21" x14ac:dyDescent="0.3">
      <c r="A58" s="5" t="s">
        <v>119</v>
      </c>
      <c r="B58" s="1">
        <v>45690</v>
      </c>
      <c r="C58" s="5" t="s">
        <v>27</v>
      </c>
      <c r="D58" s="5" t="s">
        <v>53</v>
      </c>
      <c r="E58" s="5" t="s">
        <v>49</v>
      </c>
      <c r="F58" s="5" t="s">
        <v>94</v>
      </c>
      <c r="G58" s="5" t="s">
        <v>22</v>
      </c>
      <c r="H58" s="5" t="s">
        <v>39</v>
      </c>
      <c r="I58" s="5">
        <v>218</v>
      </c>
      <c r="J58" s="5">
        <v>1692</v>
      </c>
      <c r="K58" s="5">
        <v>2146.2800000000002</v>
      </c>
      <c r="L58" s="5">
        <v>903</v>
      </c>
      <c r="M58" s="5">
        <v>231</v>
      </c>
      <c r="N58" s="5">
        <v>10</v>
      </c>
      <c r="O58" s="5" t="s">
        <v>24</v>
      </c>
      <c r="P58" s="5">
        <v>7583</v>
      </c>
      <c r="Q58" s="5" t="s">
        <v>40</v>
      </c>
      <c r="R58" s="2">
        <v>467889.04</v>
      </c>
      <c r="S58" s="2">
        <v>99033.04</v>
      </c>
      <c r="T58" s="1">
        <v>45690</v>
      </c>
      <c r="U58" s="5">
        <v>2</v>
      </c>
    </row>
    <row r="59" spans="1:21" x14ac:dyDescent="0.3">
      <c r="A59" s="5" t="s">
        <v>120</v>
      </c>
      <c r="B59" s="1">
        <v>45808</v>
      </c>
      <c r="C59" s="5" t="s">
        <v>42</v>
      </c>
      <c r="D59" s="5" t="s">
        <v>19</v>
      </c>
      <c r="E59" s="5" t="s">
        <v>49</v>
      </c>
      <c r="F59" s="5" t="s">
        <v>89</v>
      </c>
      <c r="G59" s="5" t="s">
        <v>38</v>
      </c>
      <c r="H59" s="5" t="s">
        <v>23</v>
      </c>
      <c r="I59" s="5">
        <v>407</v>
      </c>
      <c r="J59" s="5">
        <v>3311</v>
      </c>
      <c r="K59" s="5">
        <v>4831.4399999999996</v>
      </c>
      <c r="L59" s="5">
        <v>158</v>
      </c>
      <c r="M59" s="5">
        <v>239</v>
      </c>
      <c r="N59" s="5">
        <v>6</v>
      </c>
      <c r="O59" s="5" t="s">
        <v>24</v>
      </c>
      <c r="P59" s="5">
        <v>960</v>
      </c>
      <c r="Q59" s="5" t="s">
        <v>40</v>
      </c>
      <c r="R59" s="2">
        <v>1966396.08</v>
      </c>
      <c r="S59" s="2">
        <v>618819.07999999996</v>
      </c>
      <c r="T59" s="1">
        <v>45808</v>
      </c>
      <c r="U59" s="5">
        <v>5</v>
      </c>
    </row>
    <row r="60" spans="1:21" x14ac:dyDescent="0.3">
      <c r="A60" s="5" t="s">
        <v>121</v>
      </c>
      <c r="B60" s="1">
        <v>45667</v>
      </c>
      <c r="C60" s="5" t="s">
        <v>27</v>
      </c>
      <c r="D60" s="5" t="s">
        <v>53</v>
      </c>
      <c r="E60" s="5" t="s">
        <v>54</v>
      </c>
      <c r="F60" s="5" t="s">
        <v>87</v>
      </c>
      <c r="G60" s="5" t="s">
        <v>31</v>
      </c>
      <c r="H60" s="5" t="s">
        <v>39</v>
      </c>
      <c r="I60" s="5">
        <v>495</v>
      </c>
      <c r="J60" s="5">
        <v>2429</v>
      </c>
      <c r="K60" s="5">
        <v>2866.41</v>
      </c>
      <c r="L60" s="5">
        <v>1937</v>
      </c>
      <c r="M60" s="5">
        <v>171</v>
      </c>
      <c r="N60" s="5">
        <v>10</v>
      </c>
      <c r="O60" s="5" t="s">
        <v>24</v>
      </c>
      <c r="P60" s="5">
        <v>4643</v>
      </c>
      <c r="Q60" s="5" t="s">
        <v>40</v>
      </c>
      <c r="R60" s="2">
        <v>1418872.95</v>
      </c>
      <c r="S60" s="2">
        <v>216517.95</v>
      </c>
      <c r="T60" s="1">
        <v>45667</v>
      </c>
      <c r="U60" s="5">
        <v>1</v>
      </c>
    </row>
    <row r="61" spans="1:21" x14ac:dyDescent="0.3">
      <c r="A61" s="5" t="s">
        <v>122</v>
      </c>
      <c r="B61" s="1">
        <v>45826</v>
      </c>
      <c r="C61" s="5" t="s">
        <v>27</v>
      </c>
      <c r="D61" s="5" t="s">
        <v>53</v>
      </c>
      <c r="E61" s="5" t="s">
        <v>49</v>
      </c>
      <c r="F61" s="5" t="s">
        <v>89</v>
      </c>
      <c r="G61" s="5" t="s">
        <v>31</v>
      </c>
      <c r="H61" s="5" t="s">
        <v>23</v>
      </c>
      <c r="I61" s="5">
        <v>177</v>
      </c>
      <c r="J61" s="5">
        <v>4738</v>
      </c>
      <c r="K61" s="5">
        <v>6237.75</v>
      </c>
      <c r="L61" s="5">
        <v>748</v>
      </c>
      <c r="M61" s="5">
        <v>189</v>
      </c>
      <c r="N61" s="5">
        <v>9</v>
      </c>
      <c r="O61" s="5" t="s">
        <v>24</v>
      </c>
      <c r="P61" s="5">
        <v>7320</v>
      </c>
      <c r="Q61" s="5" t="s">
        <v>46</v>
      </c>
      <c r="R61" s="2">
        <v>1104081.75</v>
      </c>
      <c r="S61" s="2">
        <v>265455.75</v>
      </c>
      <c r="T61" s="1">
        <v>45826</v>
      </c>
      <c r="U61" s="5">
        <v>6</v>
      </c>
    </row>
    <row r="62" spans="1:21" x14ac:dyDescent="0.3">
      <c r="A62" s="5" t="s">
        <v>123</v>
      </c>
      <c r="B62" s="1">
        <v>45884</v>
      </c>
      <c r="C62" s="5" t="s">
        <v>35</v>
      </c>
      <c r="D62" s="5" t="s">
        <v>62</v>
      </c>
      <c r="E62" s="5" t="s">
        <v>54</v>
      </c>
      <c r="F62" s="5" t="s">
        <v>87</v>
      </c>
      <c r="G62" s="5" t="s">
        <v>22</v>
      </c>
      <c r="H62" s="5" t="s">
        <v>51</v>
      </c>
      <c r="I62" s="5">
        <v>287</v>
      </c>
      <c r="J62" s="5">
        <v>1882</v>
      </c>
      <c r="K62" s="5">
        <v>2446.65</v>
      </c>
      <c r="L62" s="5">
        <v>1347</v>
      </c>
      <c r="M62" s="5">
        <v>243</v>
      </c>
      <c r="N62" s="5">
        <v>4</v>
      </c>
      <c r="O62" s="5" t="s">
        <v>32</v>
      </c>
      <c r="P62" s="5">
        <v>2506</v>
      </c>
      <c r="Q62" s="5" t="s">
        <v>33</v>
      </c>
      <c r="R62" s="2">
        <v>702188.55</v>
      </c>
      <c r="S62" s="2">
        <v>162054.54999999999</v>
      </c>
      <c r="T62" s="1">
        <v>45884</v>
      </c>
      <c r="U62" s="5">
        <v>8</v>
      </c>
    </row>
    <row r="63" spans="1:21" x14ac:dyDescent="0.3">
      <c r="A63" s="5" t="s">
        <v>124</v>
      </c>
      <c r="B63" s="1">
        <v>45748</v>
      </c>
      <c r="C63" s="5" t="s">
        <v>42</v>
      </c>
      <c r="D63" s="5" t="s">
        <v>53</v>
      </c>
      <c r="E63" s="5" t="s">
        <v>20</v>
      </c>
      <c r="F63" s="5" t="s">
        <v>60</v>
      </c>
      <c r="G63" s="5" t="s">
        <v>56</v>
      </c>
      <c r="H63" s="5" t="s">
        <v>23</v>
      </c>
      <c r="I63" s="5">
        <v>66</v>
      </c>
      <c r="J63" s="5">
        <v>1419</v>
      </c>
      <c r="K63" s="5">
        <v>1938.85</v>
      </c>
      <c r="L63" s="5">
        <v>922</v>
      </c>
      <c r="M63" s="5">
        <v>86</v>
      </c>
      <c r="N63" s="5">
        <v>10</v>
      </c>
      <c r="O63" s="5" t="s">
        <v>24</v>
      </c>
      <c r="P63" s="5">
        <v>5449</v>
      </c>
      <c r="Q63" s="5" t="s">
        <v>33</v>
      </c>
      <c r="R63" s="2">
        <v>127964.1</v>
      </c>
      <c r="S63" s="2">
        <v>34310.1</v>
      </c>
      <c r="T63" s="1">
        <v>45748</v>
      </c>
      <c r="U63" s="5">
        <v>4</v>
      </c>
    </row>
    <row r="64" spans="1:21" x14ac:dyDescent="0.3">
      <c r="A64" s="5" t="s">
        <v>125</v>
      </c>
      <c r="B64" s="1">
        <v>45898</v>
      </c>
      <c r="C64" s="5" t="s">
        <v>35</v>
      </c>
      <c r="D64" s="5" t="s">
        <v>62</v>
      </c>
      <c r="E64" s="5" t="s">
        <v>20</v>
      </c>
      <c r="F64" s="5" t="s">
        <v>45</v>
      </c>
      <c r="G64" s="5" t="s">
        <v>31</v>
      </c>
      <c r="H64" s="5" t="s">
        <v>39</v>
      </c>
      <c r="I64" s="5">
        <v>221</v>
      </c>
      <c r="J64" s="5">
        <v>883</v>
      </c>
      <c r="K64" s="5">
        <v>1036.04</v>
      </c>
      <c r="L64" s="5">
        <v>1049</v>
      </c>
      <c r="M64" s="5">
        <v>113</v>
      </c>
      <c r="N64" s="5">
        <v>4</v>
      </c>
      <c r="O64" s="5" t="s">
        <v>24</v>
      </c>
      <c r="P64" s="5">
        <v>5760</v>
      </c>
      <c r="Q64" s="5" t="s">
        <v>40</v>
      </c>
      <c r="R64" s="2">
        <v>228964.84</v>
      </c>
      <c r="S64" s="2">
        <v>33821.839999999997</v>
      </c>
      <c r="T64" s="1">
        <v>45898</v>
      </c>
      <c r="U64" s="5">
        <v>8</v>
      </c>
    </row>
    <row r="65" spans="1:21" x14ac:dyDescent="0.3">
      <c r="A65" s="5" t="s">
        <v>126</v>
      </c>
      <c r="B65" s="1">
        <v>45821</v>
      </c>
      <c r="C65" s="5" t="s">
        <v>27</v>
      </c>
      <c r="D65" s="5" t="s">
        <v>36</v>
      </c>
      <c r="E65" s="5" t="s">
        <v>29</v>
      </c>
      <c r="F65" s="5" t="s">
        <v>43</v>
      </c>
      <c r="G65" s="5" t="s">
        <v>38</v>
      </c>
      <c r="H65" s="5" t="s">
        <v>51</v>
      </c>
      <c r="I65" s="5">
        <v>248</v>
      </c>
      <c r="J65" s="5">
        <v>2171</v>
      </c>
      <c r="K65" s="5">
        <v>2640.02</v>
      </c>
      <c r="L65" s="5">
        <v>550</v>
      </c>
      <c r="M65" s="5">
        <v>242</v>
      </c>
      <c r="N65" s="5">
        <v>6</v>
      </c>
      <c r="O65" s="5" t="s">
        <v>24</v>
      </c>
      <c r="P65" s="5">
        <v>5330</v>
      </c>
      <c r="Q65" s="5" t="s">
        <v>46</v>
      </c>
      <c r="R65" s="2">
        <v>654724.96</v>
      </c>
      <c r="S65" s="2">
        <v>116316.96</v>
      </c>
      <c r="T65" s="1">
        <v>45821</v>
      </c>
      <c r="U65" s="5">
        <v>6</v>
      </c>
    </row>
    <row r="66" spans="1:21" x14ac:dyDescent="0.3">
      <c r="A66" s="5" t="s">
        <v>127</v>
      </c>
      <c r="B66" s="1">
        <v>45903</v>
      </c>
      <c r="C66" s="5" t="s">
        <v>18</v>
      </c>
      <c r="D66" s="5" t="s">
        <v>53</v>
      </c>
      <c r="E66" s="5" t="s">
        <v>54</v>
      </c>
      <c r="F66" s="5" t="s">
        <v>78</v>
      </c>
      <c r="G66" s="5" t="s">
        <v>38</v>
      </c>
      <c r="H66" s="5" t="s">
        <v>23</v>
      </c>
      <c r="I66" s="5">
        <v>131</v>
      </c>
      <c r="J66" s="5">
        <v>4370</v>
      </c>
      <c r="K66" s="5">
        <v>6302.71</v>
      </c>
      <c r="L66" s="5">
        <v>1947</v>
      </c>
      <c r="M66" s="5">
        <v>204</v>
      </c>
      <c r="N66" s="5">
        <v>8</v>
      </c>
      <c r="O66" s="5" t="s">
        <v>24</v>
      </c>
      <c r="P66" s="5">
        <v>5433</v>
      </c>
      <c r="Q66" s="5" t="s">
        <v>33</v>
      </c>
      <c r="R66" s="2">
        <v>825655.01</v>
      </c>
      <c r="S66" s="2">
        <v>253185.01</v>
      </c>
      <c r="T66" s="1">
        <v>45903</v>
      </c>
      <c r="U66" s="5">
        <v>9</v>
      </c>
    </row>
    <row r="67" spans="1:21" x14ac:dyDescent="0.3">
      <c r="A67" s="5" t="s">
        <v>128</v>
      </c>
      <c r="B67" s="1">
        <v>45778</v>
      </c>
      <c r="C67" s="5" t="s">
        <v>27</v>
      </c>
      <c r="D67" s="5" t="s">
        <v>36</v>
      </c>
      <c r="E67" s="5" t="s">
        <v>49</v>
      </c>
      <c r="F67" s="5" t="s">
        <v>94</v>
      </c>
      <c r="G67" s="5" t="s">
        <v>22</v>
      </c>
      <c r="H67" s="5" t="s">
        <v>51</v>
      </c>
      <c r="I67" s="5">
        <v>479</v>
      </c>
      <c r="J67" s="5">
        <v>2908</v>
      </c>
      <c r="K67" s="5">
        <v>3946.06</v>
      </c>
      <c r="L67" s="5">
        <v>1800</v>
      </c>
      <c r="M67" s="5">
        <v>196</v>
      </c>
      <c r="N67" s="5">
        <v>8</v>
      </c>
      <c r="O67" s="5" t="s">
        <v>24</v>
      </c>
      <c r="P67" s="5">
        <v>1545</v>
      </c>
      <c r="Q67" s="5" t="s">
        <v>46</v>
      </c>
      <c r="R67" s="2">
        <v>1890162.74</v>
      </c>
      <c r="S67" s="2">
        <v>497230.74</v>
      </c>
      <c r="T67" s="1">
        <v>45778</v>
      </c>
      <c r="U67" s="5">
        <v>5</v>
      </c>
    </row>
    <row r="68" spans="1:21" x14ac:dyDescent="0.3">
      <c r="A68" s="5" t="s">
        <v>129</v>
      </c>
      <c r="B68" s="1">
        <v>45661</v>
      </c>
      <c r="C68" s="5" t="s">
        <v>42</v>
      </c>
      <c r="D68" s="5" t="s">
        <v>53</v>
      </c>
      <c r="E68" s="5" t="s">
        <v>20</v>
      </c>
      <c r="F68" s="5" t="s">
        <v>37</v>
      </c>
      <c r="G68" s="5" t="s">
        <v>31</v>
      </c>
      <c r="H68" s="5" t="s">
        <v>39</v>
      </c>
      <c r="I68" s="5">
        <v>279</v>
      </c>
      <c r="J68" s="5">
        <v>2900</v>
      </c>
      <c r="K68" s="5">
        <v>4126.13</v>
      </c>
      <c r="L68" s="5">
        <v>516</v>
      </c>
      <c r="M68" s="5">
        <v>292</v>
      </c>
      <c r="N68" s="5">
        <v>8</v>
      </c>
      <c r="O68" s="5" t="s">
        <v>24</v>
      </c>
      <c r="P68" s="5">
        <v>1738</v>
      </c>
      <c r="Q68" s="5" t="s">
        <v>40</v>
      </c>
      <c r="R68" s="2">
        <v>1151190.27</v>
      </c>
      <c r="S68" s="2">
        <v>342090.27</v>
      </c>
      <c r="T68" s="1">
        <v>45661</v>
      </c>
      <c r="U68" s="5">
        <v>1</v>
      </c>
    </row>
    <row r="69" spans="1:21" x14ac:dyDescent="0.3">
      <c r="A69" s="5" t="s">
        <v>130</v>
      </c>
      <c r="B69" s="1">
        <v>45685</v>
      </c>
      <c r="C69" s="5" t="s">
        <v>42</v>
      </c>
      <c r="D69" s="5" t="s">
        <v>19</v>
      </c>
      <c r="E69" s="5" t="s">
        <v>29</v>
      </c>
      <c r="F69" s="5" t="s">
        <v>73</v>
      </c>
      <c r="G69" s="5" t="s">
        <v>22</v>
      </c>
      <c r="H69" s="5" t="s">
        <v>23</v>
      </c>
      <c r="I69" s="5">
        <v>484</v>
      </c>
      <c r="J69" s="5">
        <v>4653</v>
      </c>
      <c r="K69" s="5">
        <v>6076.48</v>
      </c>
      <c r="L69" s="5">
        <v>1682</v>
      </c>
      <c r="M69" s="5">
        <v>117</v>
      </c>
      <c r="N69" s="5">
        <v>3</v>
      </c>
      <c r="O69" s="5" t="s">
        <v>32</v>
      </c>
      <c r="P69" s="5">
        <v>2885</v>
      </c>
      <c r="Q69" s="5" t="s">
        <v>25</v>
      </c>
      <c r="R69" s="2">
        <v>2941016.32</v>
      </c>
      <c r="S69" s="2">
        <v>688964.32</v>
      </c>
      <c r="T69" s="1">
        <v>45685</v>
      </c>
      <c r="U69" s="5">
        <v>1</v>
      </c>
    </row>
    <row r="70" spans="1:21" x14ac:dyDescent="0.3">
      <c r="A70" s="5" t="s">
        <v>131</v>
      </c>
      <c r="B70" s="1">
        <v>45720</v>
      </c>
      <c r="C70" s="5" t="s">
        <v>42</v>
      </c>
      <c r="D70" s="5" t="s">
        <v>19</v>
      </c>
      <c r="E70" s="5" t="s">
        <v>29</v>
      </c>
      <c r="F70" s="5" t="s">
        <v>69</v>
      </c>
      <c r="G70" s="5" t="s">
        <v>56</v>
      </c>
      <c r="H70" s="5" t="s">
        <v>23</v>
      </c>
      <c r="I70" s="5">
        <v>228</v>
      </c>
      <c r="J70" s="5">
        <v>3454</v>
      </c>
      <c r="K70" s="5">
        <v>4525.6899999999996</v>
      </c>
      <c r="L70" s="5">
        <v>1137</v>
      </c>
      <c r="M70" s="5">
        <v>294</v>
      </c>
      <c r="N70" s="5">
        <v>3</v>
      </c>
      <c r="O70" s="5" t="s">
        <v>32</v>
      </c>
      <c r="P70" s="5">
        <v>1825</v>
      </c>
      <c r="Q70" s="5" t="s">
        <v>33</v>
      </c>
      <c r="R70" s="2">
        <v>1031857.32</v>
      </c>
      <c r="S70" s="2">
        <v>244345.32</v>
      </c>
      <c r="T70" s="1">
        <v>45720</v>
      </c>
      <c r="U70" s="5">
        <v>3</v>
      </c>
    </row>
    <row r="71" spans="1:21" x14ac:dyDescent="0.3">
      <c r="A71" s="5" t="s">
        <v>132</v>
      </c>
      <c r="B71" s="1">
        <v>45893</v>
      </c>
      <c r="C71" s="5" t="s">
        <v>27</v>
      </c>
      <c r="D71" s="5" t="s">
        <v>28</v>
      </c>
      <c r="E71" s="5" t="s">
        <v>29</v>
      </c>
      <c r="F71" s="5" t="s">
        <v>30</v>
      </c>
      <c r="G71" s="5" t="s">
        <v>22</v>
      </c>
      <c r="H71" s="5" t="s">
        <v>23</v>
      </c>
      <c r="I71" s="5">
        <v>292</v>
      </c>
      <c r="J71" s="5">
        <v>2264</v>
      </c>
      <c r="K71" s="5">
        <v>3304.47</v>
      </c>
      <c r="L71" s="5">
        <v>1203</v>
      </c>
      <c r="M71" s="5">
        <v>214</v>
      </c>
      <c r="N71" s="5">
        <v>2</v>
      </c>
      <c r="O71" s="5" t="s">
        <v>32</v>
      </c>
      <c r="P71" s="5">
        <v>4531</v>
      </c>
      <c r="Q71" s="5" t="s">
        <v>33</v>
      </c>
      <c r="R71" s="2">
        <v>964905.24</v>
      </c>
      <c r="S71" s="2">
        <v>303817.24</v>
      </c>
      <c r="T71" s="1">
        <v>45893</v>
      </c>
      <c r="U71" s="5">
        <v>8</v>
      </c>
    </row>
    <row r="72" spans="1:21" x14ac:dyDescent="0.3">
      <c r="A72" s="5" t="s">
        <v>133</v>
      </c>
      <c r="B72" s="1">
        <v>45694</v>
      </c>
      <c r="C72" s="5" t="s">
        <v>27</v>
      </c>
      <c r="D72" s="5" t="s">
        <v>62</v>
      </c>
      <c r="E72" s="5" t="s">
        <v>49</v>
      </c>
      <c r="F72" s="5" t="s">
        <v>50</v>
      </c>
      <c r="G72" s="5" t="s">
        <v>31</v>
      </c>
      <c r="H72" s="5" t="s">
        <v>39</v>
      </c>
      <c r="I72" s="5">
        <v>390</v>
      </c>
      <c r="J72" s="5">
        <v>869</v>
      </c>
      <c r="K72" s="5">
        <v>1204.43</v>
      </c>
      <c r="L72" s="5">
        <v>955</v>
      </c>
      <c r="M72" s="5">
        <v>116</v>
      </c>
      <c r="N72" s="5">
        <v>4</v>
      </c>
      <c r="O72" s="5" t="s">
        <v>32</v>
      </c>
      <c r="P72" s="5">
        <v>3148</v>
      </c>
      <c r="Q72" s="5" t="s">
        <v>33</v>
      </c>
      <c r="R72" s="2">
        <v>469727.7</v>
      </c>
      <c r="S72" s="2">
        <v>130817.7</v>
      </c>
      <c r="T72" s="1">
        <v>45694</v>
      </c>
      <c r="U72" s="5">
        <v>2</v>
      </c>
    </row>
    <row r="73" spans="1:21" x14ac:dyDescent="0.3">
      <c r="A73" s="5" t="s">
        <v>134</v>
      </c>
      <c r="B73" s="1">
        <v>45716</v>
      </c>
      <c r="C73" s="5" t="s">
        <v>42</v>
      </c>
      <c r="D73" s="5" t="s">
        <v>53</v>
      </c>
      <c r="E73" s="5" t="s">
        <v>29</v>
      </c>
      <c r="F73" s="5" t="s">
        <v>73</v>
      </c>
      <c r="G73" s="5" t="s">
        <v>56</v>
      </c>
      <c r="H73" s="5" t="s">
        <v>23</v>
      </c>
      <c r="I73" s="5">
        <v>407</v>
      </c>
      <c r="J73" s="5">
        <v>1125</v>
      </c>
      <c r="K73" s="5">
        <v>1562.96</v>
      </c>
      <c r="L73" s="5">
        <v>443</v>
      </c>
      <c r="M73" s="5">
        <v>187</v>
      </c>
      <c r="N73" s="5">
        <v>6</v>
      </c>
      <c r="O73" s="5" t="s">
        <v>24</v>
      </c>
      <c r="P73" s="5">
        <v>6859</v>
      </c>
      <c r="Q73" s="5" t="s">
        <v>25</v>
      </c>
      <c r="R73" s="2">
        <v>636124.72</v>
      </c>
      <c r="S73" s="2">
        <v>178249.72</v>
      </c>
      <c r="T73" s="1">
        <v>45716</v>
      </c>
      <c r="U73" s="5">
        <v>2</v>
      </c>
    </row>
    <row r="74" spans="1:21" x14ac:dyDescent="0.3">
      <c r="A74" s="5" t="s">
        <v>135</v>
      </c>
      <c r="B74" s="1">
        <v>45745</v>
      </c>
      <c r="C74" s="5" t="s">
        <v>18</v>
      </c>
      <c r="D74" s="5" t="s">
        <v>62</v>
      </c>
      <c r="E74" s="5" t="s">
        <v>29</v>
      </c>
      <c r="F74" s="5" t="s">
        <v>69</v>
      </c>
      <c r="G74" s="5" t="s">
        <v>56</v>
      </c>
      <c r="H74" s="5" t="s">
        <v>51</v>
      </c>
      <c r="I74" s="5">
        <v>358</v>
      </c>
      <c r="J74" s="5">
        <v>3358</v>
      </c>
      <c r="K74" s="5">
        <v>4383.2</v>
      </c>
      <c r="L74" s="5">
        <v>517</v>
      </c>
      <c r="M74" s="5">
        <v>297</v>
      </c>
      <c r="N74" s="5">
        <v>1</v>
      </c>
      <c r="O74" s="5" t="s">
        <v>32</v>
      </c>
      <c r="P74" s="5">
        <v>7117</v>
      </c>
      <c r="Q74" s="5" t="s">
        <v>33</v>
      </c>
      <c r="R74" s="2">
        <v>1569185.6</v>
      </c>
      <c r="S74" s="2">
        <v>367021.6</v>
      </c>
      <c r="T74" s="1">
        <v>45745</v>
      </c>
      <c r="U74" s="5">
        <v>3</v>
      </c>
    </row>
    <row r="75" spans="1:21" x14ac:dyDescent="0.3">
      <c r="A75" s="5" t="s">
        <v>136</v>
      </c>
      <c r="B75" s="1">
        <v>45954</v>
      </c>
      <c r="C75" s="5" t="s">
        <v>18</v>
      </c>
      <c r="D75" s="5" t="s">
        <v>36</v>
      </c>
      <c r="E75" s="5" t="s">
        <v>54</v>
      </c>
      <c r="F75" s="5" t="s">
        <v>87</v>
      </c>
      <c r="G75" s="5" t="s">
        <v>22</v>
      </c>
      <c r="H75" s="5" t="s">
        <v>23</v>
      </c>
      <c r="I75" s="5">
        <v>142</v>
      </c>
      <c r="J75" s="5">
        <v>4933</v>
      </c>
      <c r="K75" s="5">
        <v>6622</v>
      </c>
      <c r="L75" s="5">
        <v>663</v>
      </c>
      <c r="M75" s="5">
        <v>108</v>
      </c>
      <c r="N75" s="5">
        <v>2</v>
      </c>
      <c r="O75" s="5" t="s">
        <v>32</v>
      </c>
      <c r="P75" s="5">
        <v>7002</v>
      </c>
      <c r="Q75" s="5" t="s">
        <v>33</v>
      </c>
      <c r="R75" s="2">
        <v>940324</v>
      </c>
      <c r="S75" s="2">
        <v>239838</v>
      </c>
      <c r="T75" s="1">
        <v>45954</v>
      </c>
      <c r="U75" s="5">
        <v>10</v>
      </c>
    </row>
    <row r="76" spans="1:21" x14ac:dyDescent="0.3">
      <c r="A76" s="5" t="s">
        <v>137</v>
      </c>
      <c r="B76" s="1">
        <v>45864</v>
      </c>
      <c r="C76" s="5" t="s">
        <v>27</v>
      </c>
      <c r="D76" s="5" t="s">
        <v>28</v>
      </c>
      <c r="E76" s="5" t="s">
        <v>20</v>
      </c>
      <c r="F76" s="5" t="s">
        <v>60</v>
      </c>
      <c r="G76" s="5" t="s">
        <v>38</v>
      </c>
      <c r="H76" s="5" t="s">
        <v>39</v>
      </c>
      <c r="I76" s="5">
        <v>396</v>
      </c>
      <c r="J76" s="5">
        <v>3920</v>
      </c>
      <c r="K76" s="5">
        <v>4730.6000000000004</v>
      </c>
      <c r="L76" s="5">
        <v>1626</v>
      </c>
      <c r="M76" s="5">
        <v>224</v>
      </c>
      <c r="N76" s="5">
        <v>8</v>
      </c>
      <c r="O76" s="5" t="s">
        <v>24</v>
      </c>
      <c r="P76" s="5">
        <v>2596</v>
      </c>
      <c r="Q76" s="5" t="s">
        <v>46</v>
      </c>
      <c r="R76" s="2">
        <v>1873317.6</v>
      </c>
      <c r="S76" s="2">
        <v>320997.59999999998</v>
      </c>
      <c r="T76" s="1">
        <v>45864</v>
      </c>
      <c r="U76" s="5">
        <v>7</v>
      </c>
    </row>
    <row r="77" spans="1:21" x14ac:dyDescent="0.3">
      <c r="A77" s="5" t="s">
        <v>138</v>
      </c>
      <c r="B77" s="1">
        <v>45892</v>
      </c>
      <c r="C77" s="5" t="s">
        <v>35</v>
      </c>
      <c r="D77" s="5" t="s">
        <v>28</v>
      </c>
      <c r="E77" s="5" t="s">
        <v>49</v>
      </c>
      <c r="F77" s="5" t="s">
        <v>94</v>
      </c>
      <c r="G77" s="5" t="s">
        <v>56</v>
      </c>
      <c r="H77" s="5" t="s">
        <v>39</v>
      </c>
      <c r="I77" s="5">
        <v>347</v>
      </c>
      <c r="J77" s="5">
        <v>3937</v>
      </c>
      <c r="K77" s="5">
        <v>4854.33</v>
      </c>
      <c r="L77" s="5">
        <v>452</v>
      </c>
      <c r="M77" s="5">
        <v>269</v>
      </c>
      <c r="N77" s="5">
        <v>5</v>
      </c>
      <c r="O77" s="5" t="s">
        <v>32</v>
      </c>
      <c r="P77" s="5">
        <v>5759</v>
      </c>
      <c r="Q77" s="5" t="s">
        <v>25</v>
      </c>
      <c r="R77" s="2">
        <v>1684452.51</v>
      </c>
      <c r="S77" s="2">
        <v>318313.51</v>
      </c>
      <c r="T77" s="1">
        <v>45892</v>
      </c>
      <c r="U77" s="5">
        <v>8</v>
      </c>
    </row>
    <row r="78" spans="1:21" x14ac:dyDescent="0.3">
      <c r="A78" s="5" t="s">
        <v>139</v>
      </c>
      <c r="B78" s="1">
        <v>45926</v>
      </c>
      <c r="C78" s="5" t="s">
        <v>42</v>
      </c>
      <c r="D78" s="5" t="s">
        <v>53</v>
      </c>
      <c r="E78" s="5" t="s">
        <v>20</v>
      </c>
      <c r="F78" s="5" t="s">
        <v>21</v>
      </c>
      <c r="G78" s="5" t="s">
        <v>22</v>
      </c>
      <c r="H78" s="5" t="s">
        <v>39</v>
      </c>
      <c r="I78" s="5">
        <v>381</v>
      </c>
      <c r="J78" s="5">
        <v>3600</v>
      </c>
      <c r="K78" s="5">
        <v>4735.99</v>
      </c>
      <c r="L78" s="5">
        <v>1483</v>
      </c>
      <c r="M78" s="5">
        <v>169</v>
      </c>
      <c r="N78" s="5">
        <v>3</v>
      </c>
      <c r="O78" s="5" t="s">
        <v>32</v>
      </c>
      <c r="P78" s="5">
        <v>923</v>
      </c>
      <c r="Q78" s="5" t="s">
        <v>33</v>
      </c>
      <c r="R78" s="2">
        <v>1804412.19</v>
      </c>
      <c r="S78" s="2">
        <v>432812.19</v>
      </c>
      <c r="T78" s="1">
        <v>45926</v>
      </c>
      <c r="U78" s="5">
        <v>9</v>
      </c>
    </row>
    <row r="79" spans="1:21" x14ac:dyDescent="0.3">
      <c r="A79" s="5" t="s">
        <v>140</v>
      </c>
      <c r="B79" s="1">
        <v>45749</v>
      </c>
      <c r="C79" s="5" t="s">
        <v>27</v>
      </c>
      <c r="D79" s="5" t="s">
        <v>28</v>
      </c>
      <c r="E79" s="5" t="s">
        <v>49</v>
      </c>
      <c r="F79" s="5" t="s">
        <v>50</v>
      </c>
      <c r="G79" s="5" t="s">
        <v>56</v>
      </c>
      <c r="H79" s="5" t="s">
        <v>39</v>
      </c>
      <c r="I79" s="5">
        <v>171</v>
      </c>
      <c r="J79" s="5">
        <v>4109</v>
      </c>
      <c r="K79" s="5">
        <v>5344.84</v>
      </c>
      <c r="L79" s="5">
        <v>637</v>
      </c>
      <c r="M79" s="5">
        <v>113</v>
      </c>
      <c r="N79" s="5">
        <v>6</v>
      </c>
      <c r="O79" s="5" t="s">
        <v>24</v>
      </c>
      <c r="P79" s="5">
        <v>963</v>
      </c>
      <c r="Q79" s="5" t="s">
        <v>25</v>
      </c>
      <c r="R79" s="2">
        <v>913967.64</v>
      </c>
      <c r="S79" s="2">
        <v>211328.64000000001</v>
      </c>
      <c r="T79" s="1">
        <v>45749</v>
      </c>
      <c r="U79" s="5">
        <v>4</v>
      </c>
    </row>
    <row r="80" spans="1:21" x14ac:dyDescent="0.3">
      <c r="A80" s="5" t="s">
        <v>141</v>
      </c>
      <c r="B80" s="1">
        <v>45689</v>
      </c>
      <c r="C80" s="5" t="s">
        <v>27</v>
      </c>
      <c r="D80" s="5" t="s">
        <v>19</v>
      </c>
      <c r="E80" s="5" t="s">
        <v>54</v>
      </c>
      <c r="F80" s="5" t="s">
        <v>81</v>
      </c>
      <c r="G80" s="5" t="s">
        <v>22</v>
      </c>
      <c r="H80" s="5" t="s">
        <v>23</v>
      </c>
      <c r="I80" s="5">
        <v>317</v>
      </c>
      <c r="J80" s="5">
        <v>3308</v>
      </c>
      <c r="K80" s="5">
        <v>4846.3599999999997</v>
      </c>
      <c r="L80" s="5">
        <v>908</v>
      </c>
      <c r="M80" s="5">
        <v>271</v>
      </c>
      <c r="N80" s="5">
        <v>4</v>
      </c>
      <c r="O80" s="5" t="s">
        <v>24</v>
      </c>
      <c r="P80" s="5">
        <v>1909</v>
      </c>
      <c r="Q80" s="5" t="s">
        <v>40</v>
      </c>
      <c r="R80" s="2">
        <v>1536296.12</v>
      </c>
      <c r="S80" s="2">
        <v>487660.12</v>
      </c>
      <c r="T80" s="1">
        <v>45689</v>
      </c>
      <c r="U80" s="5">
        <v>2</v>
      </c>
    </row>
    <row r="81" spans="1:21" x14ac:dyDescent="0.3">
      <c r="A81" s="5" t="s">
        <v>142</v>
      </c>
      <c r="B81" s="1">
        <v>45837</v>
      </c>
      <c r="C81" s="5" t="s">
        <v>18</v>
      </c>
      <c r="D81" s="5" t="s">
        <v>28</v>
      </c>
      <c r="E81" s="5" t="s">
        <v>29</v>
      </c>
      <c r="F81" s="5" t="s">
        <v>69</v>
      </c>
      <c r="G81" s="5" t="s">
        <v>22</v>
      </c>
      <c r="H81" s="5" t="s">
        <v>39</v>
      </c>
      <c r="I81" s="5">
        <v>307</v>
      </c>
      <c r="J81" s="5">
        <v>3068</v>
      </c>
      <c r="K81" s="5">
        <v>4380.3900000000003</v>
      </c>
      <c r="L81" s="5">
        <v>1120</v>
      </c>
      <c r="M81" s="5">
        <v>90</v>
      </c>
      <c r="N81" s="5">
        <v>5</v>
      </c>
      <c r="O81" s="5" t="s">
        <v>32</v>
      </c>
      <c r="P81" s="5">
        <v>7198</v>
      </c>
      <c r="Q81" s="5" t="s">
        <v>33</v>
      </c>
      <c r="R81" s="2">
        <v>1344779.73</v>
      </c>
      <c r="S81" s="2">
        <v>402903.73</v>
      </c>
      <c r="T81" s="1">
        <v>45837</v>
      </c>
      <c r="U81" s="5">
        <v>6</v>
      </c>
    </row>
    <row r="82" spans="1:21" x14ac:dyDescent="0.3">
      <c r="A82" s="5" t="s">
        <v>143</v>
      </c>
      <c r="B82" s="1">
        <v>45903</v>
      </c>
      <c r="C82" s="5" t="s">
        <v>35</v>
      </c>
      <c r="D82" s="5" t="s">
        <v>19</v>
      </c>
      <c r="E82" s="5" t="s">
        <v>29</v>
      </c>
      <c r="F82" s="5" t="s">
        <v>58</v>
      </c>
      <c r="G82" s="5" t="s">
        <v>38</v>
      </c>
      <c r="H82" s="5" t="s">
        <v>39</v>
      </c>
      <c r="I82" s="5">
        <v>255</v>
      </c>
      <c r="J82" s="5">
        <v>918</v>
      </c>
      <c r="K82" s="5">
        <v>1316.83</v>
      </c>
      <c r="L82" s="5">
        <v>1130</v>
      </c>
      <c r="M82" s="5">
        <v>124</v>
      </c>
      <c r="N82" s="5">
        <v>9</v>
      </c>
      <c r="O82" s="5" t="s">
        <v>24</v>
      </c>
      <c r="P82" s="5">
        <v>5176</v>
      </c>
      <c r="Q82" s="5" t="s">
        <v>25</v>
      </c>
      <c r="R82" s="2">
        <v>335791.65</v>
      </c>
      <c r="S82" s="2">
        <v>101701.65</v>
      </c>
      <c r="T82" s="1">
        <v>45903</v>
      </c>
      <c r="U82" s="5">
        <v>9</v>
      </c>
    </row>
    <row r="83" spans="1:21" x14ac:dyDescent="0.3">
      <c r="A83" s="5" t="s">
        <v>144</v>
      </c>
      <c r="B83" s="1">
        <v>45885</v>
      </c>
      <c r="C83" s="5" t="s">
        <v>35</v>
      </c>
      <c r="D83" s="5" t="s">
        <v>36</v>
      </c>
      <c r="E83" s="5" t="s">
        <v>20</v>
      </c>
      <c r="F83" s="5" t="s">
        <v>37</v>
      </c>
      <c r="G83" s="5" t="s">
        <v>38</v>
      </c>
      <c r="H83" s="5" t="s">
        <v>51</v>
      </c>
      <c r="I83" s="5">
        <v>326</v>
      </c>
      <c r="J83" s="5">
        <v>2895</v>
      </c>
      <c r="K83" s="5">
        <v>3963.03</v>
      </c>
      <c r="L83" s="5">
        <v>1689</v>
      </c>
      <c r="M83" s="5">
        <v>223</v>
      </c>
      <c r="N83" s="5">
        <v>4</v>
      </c>
      <c r="O83" s="5" t="s">
        <v>32</v>
      </c>
      <c r="P83" s="5">
        <v>7879</v>
      </c>
      <c r="Q83" s="5" t="s">
        <v>25</v>
      </c>
      <c r="R83" s="2">
        <v>1291947.78</v>
      </c>
      <c r="S83" s="2">
        <v>348177.78</v>
      </c>
      <c r="T83" s="1">
        <v>45885</v>
      </c>
      <c r="U83" s="5">
        <v>8</v>
      </c>
    </row>
    <row r="84" spans="1:21" x14ac:dyDescent="0.3">
      <c r="A84" s="5" t="s">
        <v>145</v>
      </c>
      <c r="B84" s="1">
        <v>45773</v>
      </c>
      <c r="C84" s="5" t="s">
        <v>42</v>
      </c>
      <c r="D84" s="5" t="s">
        <v>19</v>
      </c>
      <c r="E84" s="5" t="s">
        <v>54</v>
      </c>
      <c r="F84" s="5" t="s">
        <v>55</v>
      </c>
      <c r="G84" s="5" t="s">
        <v>22</v>
      </c>
      <c r="H84" s="5" t="s">
        <v>23</v>
      </c>
      <c r="I84" s="5">
        <v>474</v>
      </c>
      <c r="J84" s="5">
        <v>3436</v>
      </c>
      <c r="K84" s="5">
        <v>4666.03</v>
      </c>
      <c r="L84" s="5">
        <v>929</v>
      </c>
      <c r="M84" s="5">
        <v>95</v>
      </c>
      <c r="N84" s="5">
        <v>10</v>
      </c>
      <c r="O84" s="5" t="s">
        <v>24</v>
      </c>
      <c r="P84" s="5">
        <v>6005</v>
      </c>
      <c r="Q84" s="5" t="s">
        <v>25</v>
      </c>
      <c r="R84" s="2">
        <v>2211698.2200000002</v>
      </c>
      <c r="S84" s="2">
        <v>583034.22</v>
      </c>
      <c r="T84" s="1">
        <v>45773</v>
      </c>
      <c r="U84" s="5">
        <v>4</v>
      </c>
    </row>
    <row r="85" spans="1:21" x14ac:dyDescent="0.3">
      <c r="A85" s="5" t="s">
        <v>146</v>
      </c>
      <c r="B85" s="1">
        <v>46018</v>
      </c>
      <c r="C85" s="5" t="s">
        <v>18</v>
      </c>
      <c r="D85" s="5" t="s">
        <v>36</v>
      </c>
      <c r="E85" s="5" t="s">
        <v>54</v>
      </c>
      <c r="F85" s="5" t="s">
        <v>55</v>
      </c>
      <c r="G85" s="5" t="s">
        <v>56</v>
      </c>
      <c r="H85" s="5" t="s">
        <v>39</v>
      </c>
      <c r="I85" s="5">
        <v>142</v>
      </c>
      <c r="J85" s="5">
        <v>4986</v>
      </c>
      <c r="K85" s="5">
        <v>6100.05</v>
      </c>
      <c r="L85" s="5">
        <v>80</v>
      </c>
      <c r="M85" s="5">
        <v>137</v>
      </c>
      <c r="N85" s="5">
        <v>10</v>
      </c>
      <c r="O85" s="5" t="s">
        <v>24</v>
      </c>
      <c r="P85" s="5">
        <v>4820</v>
      </c>
      <c r="Q85" s="5" t="s">
        <v>40</v>
      </c>
      <c r="R85" s="2">
        <v>866207.1</v>
      </c>
      <c r="S85" s="2">
        <v>158195.1</v>
      </c>
      <c r="T85" s="1">
        <v>46018</v>
      </c>
      <c r="U85" s="5">
        <v>12</v>
      </c>
    </row>
    <row r="86" spans="1:21" x14ac:dyDescent="0.3">
      <c r="A86" s="5" t="s">
        <v>147</v>
      </c>
      <c r="B86" s="1">
        <v>45777</v>
      </c>
      <c r="C86" s="5" t="s">
        <v>18</v>
      </c>
      <c r="D86" s="5" t="s">
        <v>53</v>
      </c>
      <c r="E86" s="5" t="s">
        <v>29</v>
      </c>
      <c r="F86" s="5" t="s">
        <v>69</v>
      </c>
      <c r="G86" s="5" t="s">
        <v>31</v>
      </c>
      <c r="H86" s="5" t="s">
        <v>51</v>
      </c>
      <c r="I86" s="5">
        <v>239</v>
      </c>
      <c r="J86" s="5">
        <v>2936</v>
      </c>
      <c r="K86" s="5">
        <v>3468.36</v>
      </c>
      <c r="L86" s="5">
        <v>290</v>
      </c>
      <c r="M86" s="5">
        <v>140</v>
      </c>
      <c r="N86" s="5">
        <v>8</v>
      </c>
      <c r="O86" s="5" t="s">
        <v>24</v>
      </c>
      <c r="P86" s="5">
        <v>7047</v>
      </c>
      <c r="Q86" s="5" t="s">
        <v>33</v>
      </c>
      <c r="R86" s="2">
        <v>828938.04</v>
      </c>
      <c r="S86" s="2">
        <v>127234.04</v>
      </c>
      <c r="T86" s="1">
        <v>45777</v>
      </c>
      <c r="U86" s="5">
        <v>4</v>
      </c>
    </row>
    <row r="87" spans="1:21" x14ac:dyDescent="0.3">
      <c r="A87" s="5" t="s">
        <v>148</v>
      </c>
      <c r="B87" s="1">
        <v>45920</v>
      </c>
      <c r="C87" s="5" t="s">
        <v>42</v>
      </c>
      <c r="D87" s="5" t="s">
        <v>36</v>
      </c>
      <c r="E87" s="5" t="s">
        <v>29</v>
      </c>
      <c r="F87" s="5" t="s">
        <v>30</v>
      </c>
      <c r="G87" s="5" t="s">
        <v>22</v>
      </c>
      <c r="H87" s="5" t="s">
        <v>51</v>
      </c>
      <c r="I87" s="5">
        <v>315</v>
      </c>
      <c r="J87" s="5">
        <v>2287</v>
      </c>
      <c r="K87" s="5">
        <v>3288.98</v>
      </c>
      <c r="L87" s="5">
        <v>1758</v>
      </c>
      <c r="M87" s="5">
        <v>194</v>
      </c>
      <c r="N87" s="5">
        <v>2</v>
      </c>
      <c r="O87" s="5" t="s">
        <v>32</v>
      </c>
      <c r="P87" s="5">
        <v>2631</v>
      </c>
      <c r="Q87" s="5" t="s">
        <v>33</v>
      </c>
      <c r="R87" s="2">
        <v>1036028.7</v>
      </c>
      <c r="S87" s="2">
        <v>315623.7</v>
      </c>
      <c r="T87" s="1">
        <v>45920</v>
      </c>
      <c r="U87" s="5">
        <v>9</v>
      </c>
    </row>
    <row r="88" spans="1:21" x14ac:dyDescent="0.3">
      <c r="A88" s="5" t="s">
        <v>149</v>
      </c>
      <c r="B88" s="1">
        <v>45910</v>
      </c>
      <c r="C88" s="5" t="s">
        <v>42</v>
      </c>
      <c r="D88" s="5" t="s">
        <v>62</v>
      </c>
      <c r="E88" s="5" t="s">
        <v>29</v>
      </c>
      <c r="F88" s="5" t="s">
        <v>58</v>
      </c>
      <c r="G88" s="5" t="s">
        <v>22</v>
      </c>
      <c r="H88" s="5" t="s">
        <v>51</v>
      </c>
      <c r="I88" s="5">
        <v>16</v>
      </c>
      <c r="J88" s="5">
        <v>3105</v>
      </c>
      <c r="K88" s="5">
        <v>3687.25</v>
      </c>
      <c r="L88" s="5">
        <v>1911</v>
      </c>
      <c r="M88" s="5">
        <v>240</v>
      </c>
      <c r="N88" s="5">
        <v>1</v>
      </c>
      <c r="O88" s="5" t="s">
        <v>32</v>
      </c>
      <c r="P88" s="5">
        <v>7225</v>
      </c>
      <c r="Q88" s="5" t="s">
        <v>33</v>
      </c>
      <c r="R88" s="2">
        <v>58996</v>
      </c>
      <c r="S88" s="2">
        <v>9316</v>
      </c>
      <c r="T88" s="1">
        <v>45910</v>
      </c>
      <c r="U88" s="5">
        <v>9</v>
      </c>
    </row>
    <row r="89" spans="1:21" x14ac:dyDescent="0.3">
      <c r="A89" s="5" t="s">
        <v>150</v>
      </c>
      <c r="B89" s="1">
        <v>45749</v>
      </c>
      <c r="C89" s="5" t="s">
        <v>42</v>
      </c>
      <c r="D89" s="5" t="s">
        <v>28</v>
      </c>
      <c r="E89" s="5" t="s">
        <v>29</v>
      </c>
      <c r="F89" s="5" t="s">
        <v>69</v>
      </c>
      <c r="G89" s="5" t="s">
        <v>22</v>
      </c>
      <c r="H89" s="5" t="s">
        <v>23</v>
      </c>
      <c r="I89" s="5">
        <v>86</v>
      </c>
      <c r="J89" s="5">
        <v>4158</v>
      </c>
      <c r="K89" s="5">
        <v>5384.92</v>
      </c>
      <c r="L89" s="5">
        <v>65</v>
      </c>
      <c r="M89" s="5">
        <v>81</v>
      </c>
      <c r="N89" s="5">
        <v>2</v>
      </c>
      <c r="O89" s="5" t="s">
        <v>32</v>
      </c>
      <c r="P89" s="5">
        <v>2943</v>
      </c>
      <c r="Q89" s="5" t="s">
        <v>33</v>
      </c>
      <c r="R89" s="2">
        <v>463103.12</v>
      </c>
      <c r="S89" s="2">
        <v>105515.12</v>
      </c>
      <c r="T89" s="1">
        <v>45749</v>
      </c>
      <c r="U89" s="5">
        <v>4</v>
      </c>
    </row>
    <row r="90" spans="1:21" x14ac:dyDescent="0.3">
      <c r="A90" s="5" t="s">
        <v>151</v>
      </c>
      <c r="B90" s="1">
        <v>45864</v>
      </c>
      <c r="C90" s="5" t="s">
        <v>42</v>
      </c>
      <c r="D90" s="5" t="s">
        <v>62</v>
      </c>
      <c r="E90" s="5" t="s">
        <v>49</v>
      </c>
      <c r="F90" s="5" t="s">
        <v>94</v>
      </c>
      <c r="G90" s="5" t="s">
        <v>31</v>
      </c>
      <c r="H90" s="5" t="s">
        <v>23</v>
      </c>
      <c r="I90" s="5">
        <v>211</v>
      </c>
      <c r="J90" s="5">
        <v>4114</v>
      </c>
      <c r="K90" s="5">
        <v>5728.3</v>
      </c>
      <c r="L90" s="5">
        <v>61</v>
      </c>
      <c r="M90" s="5">
        <v>183</v>
      </c>
      <c r="N90" s="5">
        <v>7</v>
      </c>
      <c r="O90" s="5" t="s">
        <v>24</v>
      </c>
      <c r="P90" s="5">
        <v>3385</v>
      </c>
      <c r="Q90" s="5" t="s">
        <v>33</v>
      </c>
      <c r="R90" s="2">
        <v>1208671.3</v>
      </c>
      <c r="S90" s="2">
        <v>340617.3</v>
      </c>
      <c r="T90" s="1">
        <v>45864</v>
      </c>
      <c r="U90" s="5">
        <v>7</v>
      </c>
    </row>
    <row r="91" spans="1:21" x14ac:dyDescent="0.3">
      <c r="A91" s="5" t="s">
        <v>152</v>
      </c>
      <c r="B91" s="1">
        <v>45985</v>
      </c>
      <c r="C91" s="5" t="s">
        <v>18</v>
      </c>
      <c r="D91" s="5" t="s">
        <v>36</v>
      </c>
      <c r="E91" s="5" t="s">
        <v>49</v>
      </c>
      <c r="F91" s="5" t="s">
        <v>89</v>
      </c>
      <c r="G91" s="5" t="s">
        <v>31</v>
      </c>
      <c r="H91" s="5" t="s">
        <v>23</v>
      </c>
      <c r="I91" s="5">
        <v>76</v>
      </c>
      <c r="J91" s="5">
        <v>2519</v>
      </c>
      <c r="K91" s="5">
        <v>3369.5</v>
      </c>
      <c r="L91" s="5">
        <v>418</v>
      </c>
      <c r="M91" s="5">
        <v>138</v>
      </c>
      <c r="N91" s="5">
        <v>5</v>
      </c>
      <c r="O91" s="5" t="s">
        <v>32</v>
      </c>
      <c r="P91" s="5">
        <v>5776</v>
      </c>
      <c r="Q91" s="5" t="s">
        <v>33</v>
      </c>
      <c r="R91" s="2">
        <v>256082</v>
      </c>
      <c r="S91" s="2">
        <v>64638</v>
      </c>
      <c r="T91" s="1">
        <v>45985</v>
      </c>
      <c r="U91" s="5">
        <v>11</v>
      </c>
    </row>
    <row r="92" spans="1:21" x14ac:dyDescent="0.3">
      <c r="A92" s="5" t="s">
        <v>153</v>
      </c>
      <c r="B92" s="1">
        <v>45740</v>
      </c>
      <c r="C92" s="5" t="s">
        <v>35</v>
      </c>
      <c r="D92" s="5" t="s">
        <v>19</v>
      </c>
      <c r="E92" s="5" t="s">
        <v>54</v>
      </c>
      <c r="F92" s="5" t="s">
        <v>81</v>
      </c>
      <c r="G92" s="5" t="s">
        <v>56</v>
      </c>
      <c r="H92" s="5" t="s">
        <v>39</v>
      </c>
      <c r="I92" s="5">
        <v>28</v>
      </c>
      <c r="J92" s="5">
        <v>3749</v>
      </c>
      <c r="K92" s="5">
        <v>5245.66</v>
      </c>
      <c r="L92" s="5">
        <v>922</v>
      </c>
      <c r="M92" s="5">
        <v>160</v>
      </c>
      <c r="N92" s="5">
        <v>1</v>
      </c>
      <c r="O92" s="5" t="s">
        <v>32</v>
      </c>
      <c r="P92" s="5">
        <v>6446</v>
      </c>
      <c r="Q92" s="5" t="s">
        <v>33</v>
      </c>
      <c r="R92" s="2">
        <v>146878.48000000001</v>
      </c>
      <c r="S92" s="2">
        <v>41906.480000000003</v>
      </c>
      <c r="T92" s="1">
        <v>45740</v>
      </c>
      <c r="U92" s="5">
        <v>3</v>
      </c>
    </row>
    <row r="93" spans="1:21" x14ac:dyDescent="0.3">
      <c r="A93" s="5" t="s">
        <v>154</v>
      </c>
      <c r="B93" s="1">
        <v>45724</v>
      </c>
      <c r="C93" s="5" t="s">
        <v>27</v>
      </c>
      <c r="D93" s="5" t="s">
        <v>62</v>
      </c>
      <c r="E93" s="5" t="s">
        <v>49</v>
      </c>
      <c r="F93" s="5" t="s">
        <v>94</v>
      </c>
      <c r="G93" s="5" t="s">
        <v>56</v>
      </c>
      <c r="H93" s="5" t="s">
        <v>39</v>
      </c>
      <c r="I93" s="5">
        <v>145</v>
      </c>
      <c r="J93" s="5">
        <v>1177</v>
      </c>
      <c r="K93" s="5">
        <v>1481.27</v>
      </c>
      <c r="L93" s="5">
        <v>88</v>
      </c>
      <c r="M93" s="5">
        <v>267</v>
      </c>
      <c r="N93" s="5">
        <v>10</v>
      </c>
      <c r="O93" s="5" t="s">
        <v>24</v>
      </c>
      <c r="P93" s="5">
        <v>4293</v>
      </c>
      <c r="Q93" s="5" t="s">
        <v>40</v>
      </c>
      <c r="R93" s="2">
        <v>214784.15</v>
      </c>
      <c r="S93" s="2">
        <v>44119.15</v>
      </c>
      <c r="T93" s="1">
        <v>45724</v>
      </c>
      <c r="U93" s="5">
        <v>3</v>
      </c>
    </row>
    <row r="94" spans="1:21" x14ac:dyDescent="0.3">
      <c r="A94" s="5" t="s">
        <v>155</v>
      </c>
      <c r="B94" s="1">
        <v>45730</v>
      </c>
      <c r="C94" s="5" t="s">
        <v>35</v>
      </c>
      <c r="D94" s="5" t="s">
        <v>19</v>
      </c>
      <c r="E94" s="5" t="s">
        <v>49</v>
      </c>
      <c r="F94" s="5" t="s">
        <v>75</v>
      </c>
      <c r="G94" s="5" t="s">
        <v>56</v>
      </c>
      <c r="H94" s="5" t="s">
        <v>39</v>
      </c>
      <c r="I94" s="5">
        <v>309</v>
      </c>
      <c r="J94" s="5">
        <v>1359</v>
      </c>
      <c r="K94" s="5">
        <v>1582.4</v>
      </c>
      <c r="L94" s="5">
        <v>1598</v>
      </c>
      <c r="M94" s="5">
        <v>271</v>
      </c>
      <c r="N94" s="5">
        <v>9</v>
      </c>
      <c r="O94" s="5" t="s">
        <v>24</v>
      </c>
      <c r="P94" s="5">
        <v>4993</v>
      </c>
      <c r="Q94" s="5" t="s">
        <v>46</v>
      </c>
      <c r="R94" s="2">
        <v>488961.6</v>
      </c>
      <c r="S94" s="2">
        <v>69030.600000000006</v>
      </c>
      <c r="T94" s="1">
        <v>45730</v>
      </c>
      <c r="U94" s="5">
        <v>3</v>
      </c>
    </row>
    <row r="95" spans="1:21" x14ac:dyDescent="0.3">
      <c r="A95" s="5" t="s">
        <v>156</v>
      </c>
      <c r="B95" s="1">
        <v>45993</v>
      </c>
      <c r="C95" s="5" t="s">
        <v>42</v>
      </c>
      <c r="D95" s="5" t="s">
        <v>53</v>
      </c>
      <c r="E95" s="5" t="s">
        <v>54</v>
      </c>
      <c r="F95" s="5" t="s">
        <v>55</v>
      </c>
      <c r="G95" s="5" t="s">
        <v>38</v>
      </c>
      <c r="H95" s="5" t="s">
        <v>23</v>
      </c>
      <c r="I95" s="5">
        <v>94</v>
      </c>
      <c r="J95" s="5">
        <v>2933</v>
      </c>
      <c r="K95" s="5">
        <v>3693.54</v>
      </c>
      <c r="L95" s="5">
        <v>1578</v>
      </c>
      <c r="M95" s="5">
        <v>161</v>
      </c>
      <c r="N95" s="5">
        <v>6</v>
      </c>
      <c r="O95" s="5" t="s">
        <v>24</v>
      </c>
      <c r="P95" s="5">
        <v>5982</v>
      </c>
      <c r="Q95" s="5" t="s">
        <v>40</v>
      </c>
      <c r="R95" s="2">
        <v>347192.76</v>
      </c>
      <c r="S95" s="2">
        <v>71490.759999999995</v>
      </c>
      <c r="T95" s="1">
        <v>45993</v>
      </c>
      <c r="U95" s="5">
        <v>12</v>
      </c>
    </row>
    <row r="96" spans="1:21" x14ac:dyDescent="0.3">
      <c r="A96" s="5" t="s">
        <v>157</v>
      </c>
      <c r="B96" s="1">
        <v>45864</v>
      </c>
      <c r="C96" s="5" t="s">
        <v>18</v>
      </c>
      <c r="D96" s="5" t="s">
        <v>19</v>
      </c>
      <c r="E96" s="5" t="s">
        <v>20</v>
      </c>
      <c r="F96" s="5" t="s">
        <v>60</v>
      </c>
      <c r="G96" s="5" t="s">
        <v>38</v>
      </c>
      <c r="H96" s="5" t="s">
        <v>51</v>
      </c>
      <c r="I96" s="5">
        <v>189</v>
      </c>
      <c r="J96" s="5">
        <v>1042</v>
      </c>
      <c r="K96" s="5">
        <v>1421.36</v>
      </c>
      <c r="L96" s="5">
        <v>1753</v>
      </c>
      <c r="M96" s="5">
        <v>212</v>
      </c>
      <c r="N96" s="5">
        <v>1</v>
      </c>
      <c r="O96" s="5" t="s">
        <v>32</v>
      </c>
      <c r="P96" s="5">
        <v>4277</v>
      </c>
      <c r="Q96" s="5" t="s">
        <v>33</v>
      </c>
      <c r="R96" s="2">
        <v>268637.03999999998</v>
      </c>
      <c r="S96" s="2">
        <v>71699.039999999994</v>
      </c>
      <c r="T96" s="1">
        <v>45864</v>
      </c>
      <c r="U96" s="5">
        <v>7</v>
      </c>
    </row>
    <row r="97" spans="1:21" x14ac:dyDescent="0.3">
      <c r="A97" s="5" t="s">
        <v>158</v>
      </c>
      <c r="B97" s="1">
        <v>45880</v>
      </c>
      <c r="C97" s="5" t="s">
        <v>27</v>
      </c>
      <c r="D97" s="5" t="s">
        <v>28</v>
      </c>
      <c r="E97" s="5" t="s">
        <v>20</v>
      </c>
      <c r="F97" s="5" t="s">
        <v>45</v>
      </c>
      <c r="G97" s="5" t="s">
        <v>56</v>
      </c>
      <c r="H97" s="5" t="s">
        <v>23</v>
      </c>
      <c r="I97" s="5">
        <v>302</v>
      </c>
      <c r="J97" s="5">
        <v>1412</v>
      </c>
      <c r="K97" s="5">
        <v>1753.71</v>
      </c>
      <c r="L97" s="5">
        <v>1514</v>
      </c>
      <c r="M97" s="5">
        <v>241</v>
      </c>
      <c r="N97" s="5">
        <v>2</v>
      </c>
      <c r="O97" s="5" t="s">
        <v>24</v>
      </c>
      <c r="P97" s="5">
        <v>6609</v>
      </c>
      <c r="Q97" s="5" t="s">
        <v>33</v>
      </c>
      <c r="R97" s="2">
        <v>529620.42000000004</v>
      </c>
      <c r="S97" s="2">
        <v>103196.42</v>
      </c>
      <c r="T97" s="1">
        <v>45880</v>
      </c>
      <c r="U97" s="5">
        <v>8</v>
      </c>
    </row>
    <row r="98" spans="1:21" x14ac:dyDescent="0.3">
      <c r="A98" s="5" t="s">
        <v>159</v>
      </c>
      <c r="B98" s="1">
        <v>45670</v>
      </c>
      <c r="C98" s="5" t="s">
        <v>18</v>
      </c>
      <c r="D98" s="5" t="s">
        <v>62</v>
      </c>
      <c r="E98" s="5" t="s">
        <v>49</v>
      </c>
      <c r="F98" s="5" t="s">
        <v>89</v>
      </c>
      <c r="G98" s="5" t="s">
        <v>22</v>
      </c>
      <c r="H98" s="5" t="s">
        <v>39</v>
      </c>
      <c r="I98" s="5">
        <v>284</v>
      </c>
      <c r="J98" s="5">
        <v>4860</v>
      </c>
      <c r="K98" s="5">
        <v>6337.87</v>
      </c>
      <c r="L98" s="5">
        <v>144</v>
      </c>
      <c r="M98" s="5">
        <v>281</v>
      </c>
      <c r="N98" s="5">
        <v>3</v>
      </c>
      <c r="O98" s="5" t="s">
        <v>32</v>
      </c>
      <c r="P98" s="5">
        <v>6051</v>
      </c>
      <c r="Q98" s="5" t="s">
        <v>33</v>
      </c>
      <c r="R98" s="2">
        <v>1799955.08</v>
      </c>
      <c r="S98" s="2">
        <v>419715.08</v>
      </c>
      <c r="T98" s="1">
        <v>45670</v>
      </c>
      <c r="U98" s="5">
        <v>1</v>
      </c>
    </row>
    <row r="99" spans="1:21" x14ac:dyDescent="0.3">
      <c r="A99" s="5" t="s">
        <v>160</v>
      </c>
      <c r="B99" s="1">
        <v>45860</v>
      </c>
      <c r="C99" s="5" t="s">
        <v>27</v>
      </c>
      <c r="D99" s="5" t="s">
        <v>19</v>
      </c>
      <c r="E99" s="5" t="s">
        <v>49</v>
      </c>
      <c r="F99" s="5" t="s">
        <v>94</v>
      </c>
      <c r="G99" s="5" t="s">
        <v>56</v>
      </c>
      <c r="H99" s="5" t="s">
        <v>23</v>
      </c>
      <c r="I99" s="5">
        <v>198</v>
      </c>
      <c r="J99" s="5">
        <v>2756</v>
      </c>
      <c r="K99" s="5">
        <v>4085.85</v>
      </c>
      <c r="L99" s="5">
        <v>407</v>
      </c>
      <c r="M99" s="5">
        <v>142</v>
      </c>
      <c r="N99" s="5">
        <v>10</v>
      </c>
      <c r="O99" s="5" t="s">
        <v>24</v>
      </c>
      <c r="P99" s="5">
        <v>5838</v>
      </c>
      <c r="Q99" s="5" t="s">
        <v>25</v>
      </c>
      <c r="R99" s="2">
        <v>808998.3</v>
      </c>
      <c r="S99" s="2">
        <v>263310.3</v>
      </c>
      <c r="T99" s="1">
        <v>45860</v>
      </c>
      <c r="U99" s="5">
        <v>7</v>
      </c>
    </row>
    <row r="100" spans="1:21" x14ac:dyDescent="0.3">
      <c r="A100" s="5" t="s">
        <v>161</v>
      </c>
      <c r="B100" s="1">
        <v>45761</v>
      </c>
      <c r="C100" s="5" t="s">
        <v>35</v>
      </c>
      <c r="D100" s="5" t="s">
        <v>62</v>
      </c>
      <c r="E100" s="5" t="s">
        <v>54</v>
      </c>
      <c r="F100" s="5" t="s">
        <v>78</v>
      </c>
      <c r="G100" s="5" t="s">
        <v>56</v>
      </c>
      <c r="H100" s="5" t="s">
        <v>39</v>
      </c>
      <c r="I100" s="5">
        <v>349</v>
      </c>
      <c r="J100" s="5">
        <v>2068</v>
      </c>
      <c r="K100" s="5">
        <v>2775.1</v>
      </c>
      <c r="L100" s="5">
        <v>960</v>
      </c>
      <c r="M100" s="5">
        <v>107</v>
      </c>
      <c r="N100" s="5">
        <v>7</v>
      </c>
      <c r="O100" s="5" t="s">
        <v>24</v>
      </c>
      <c r="P100" s="5">
        <v>6545</v>
      </c>
      <c r="Q100" s="5" t="s">
        <v>33</v>
      </c>
      <c r="R100" s="2">
        <v>968509.9</v>
      </c>
      <c r="S100" s="2">
        <v>246777.9</v>
      </c>
      <c r="T100" s="1">
        <v>45761</v>
      </c>
      <c r="U100" s="5">
        <v>4</v>
      </c>
    </row>
    <row r="101" spans="1:21" x14ac:dyDescent="0.3">
      <c r="A101" s="5" t="s">
        <v>162</v>
      </c>
      <c r="B101" s="1">
        <v>45862</v>
      </c>
      <c r="C101" s="5" t="s">
        <v>18</v>
      </c>
      <c r="D101" s="5" t="s">
        <v>62</v>
      </c>
      <c r="E101" s="5" t="s">
        <v>20</v>
      </c>
      <c r="F101" s="5" t="s">
        <v>37</v>
      </c>
      <c r="G101" s="5" t="s">
        <v>31</v>
      </c>
      <c r="H101" s="5" t="s">
        <v>39</v>
      </c>
      <c r="I101" s="5">
        <v>367</v>
      </c>
      <c r="J101" s="5">
        <v>281</v>
      </c>
      <c r="K101" s="5">
        <v>378.52</v>
      </c>
      <c r="L101" s="5">
        <v>1970</v>
      </c>
      <c r="M101" s="5">
        <v>248</v>
      </c>
      <c r="N101" s="5">
        <v>9</v>
      </c>
      <c r="O101" s="5" t="s">
        <v>24</v>
      </c>
      <c r="P101" s="5">
        <v>2555</v>
      </c>
      <c r="Q101" s="5" t="s">
        <v>40</v>
      </c>
      <c r="R101" s="2">
        <v>138916.84</v>
      </c>
      <c r="S101" s="2">
        <v>35789.839999999997</v>
      </c>
      <c r="T101" s="1">
        <v>45862</v>
      </c>
      <c r="U101" s="5">
        <v>7</v>
      </c>
    </row>
    <row r="102" spans="1:21" x14ac:dyDescent="0.3">
      <c r="A102" s="5" t="s">
        <v>163</v>
      </c>
      <c r="B102" s="1">
        <v>45910</v>
      </c>
      <c r="C102" s="5" t="s">
        <v>42</v>
      </c>
      <c r="D102" s="5" t="s">
        <v>62</v>
      </c>
      <c r="E102" s="5" t="s">
        <v>49</v>
      </c>
      <c r="F102" s="5" t="s">
        <v>75</v>
      </c>
      <c r="G102" s="5" t="s">
        <v>22</v>
      </c>
      <c r="H102" s="5" t="s">
        <v>23</v>
      </c>
      <c r="I102" s="5">
        <v>187</v>
      </c>
      <c r="J102" s="5">
        <v>1209</v>
      </c>
      <c r="K102" s="5">
        <v>1721.05</v>
      </c>
      <c r="L102" s="5">
        <v>412</v>
      </c>
      <c r="M102" s="5">
        <v>230</v>
      </c>
      <c r="N102" s="5">
        <v>2</v>
      </c>
      <c r="O102" s="5" t="s">
        <v>32</v>
      </c>
      <c r="P102" s="5">
        <v>4870</v>
      </c>
      <c r="Q102" s="5" t="s">
        <v>33</v>
      </c>
      <c r="R102" s="2">
        <v>321836.34999999998</v>
      </c>
      <c r="S102" s="2">
        <v>95753.35</v>
      </c>
      <c r="T102" s="1">
        <v>45910</v>
      </c>
      <c r="U102" s="5">
        <v>9</v>
      </c>
    </row>
    <row r="103" spans="1:21" x14ac:dyDescent="0.3">
      <c r="A103" s="5" t="s">
        <v>164</v>
      </c>
      <c r="B103" s="1">
        <v>45668</v>
      </c>
      <c r="C103" s="5" t="s">
        <v>27</v>
      </c>
      <c r="D103" s="5" t="s">
        <v>53</v>
      </c>
      <c r="E103" s="5" t="s">
        <v>29</v>
      </c>
      <c r="F103" s="5" t="s">
        <v>69</v>
      </c>
      <c r="G103" s="5" t="s">
        <v>56</v>
      </c>
      <c r="H103" s="5" t="s">
        <v>23</v>
      </c>
      <c r="I103" s="5">
        <v>78</v>
      </c>
      <c r="J103" s="5">
        <v>4785</v>
      </c>
      <c r="K103" s="5">
        <v>6103.62</v>
      </c>
      <c r="L103" s="5">
        <v>415</v>
      </c>
      <c r="M103" s="5">
        <v>271</v>
      </c>
      <c r="N103" s="5">
        <v>10</v>
      </c>
      <c r="O103" s="5" t="s">
        <v>24</v>
      </c>
      <c r="P103" s="5">
        <v>6561</v>
      </c>
      <c r="Q103" s="5" t="s">
        <v>25</v>
      </c>
      <c r="R103" s="2">
        <v>476082.36</v>
      </c>
      <c r="S103" s="2">
        <v>102852.36</v>
      </c>
      <c r="T103" s="1">
        <v>45668</v>
      </c>
      <c r="U103" s="5">
        <v>1</v>
      </c>
    </row>
    <row r="104" spans="1:21" x14ac:dyDescent="0.3">
      <c r="A104" s="5" t="s">
        <v>165</v>
      </c>
      <c r="B104" s="1">
        <v>45892</v>
      </c>
      <c r="C104" s="5" t="s">
        <v>35</v>
      </c>
      <c r="D104" s="5" t="s">
        <v>36</v>
      </c>
      <c r="E104" s="5" t="s">
        <v>49</v>
      </c>
      <c r="F104" s="5" t="s">
        <v>94</v>
      </c>
      <c r="G104" s="5" t="s">
        <v>22</v>
      </c>
      <c r="H104" s="5" t="s">
        <v>39</v>
      </c>
      <c r="I104" s="5">
        <v>368</v>
      </c>
      <c r="J104" s="5">
        <v>3843</v>
      </c>
      <c r="K104" s="5">
        <v>5317.1</v>
      </c>
      <c r="L104" s="5">
        <v>1978</v>
      </c>
      <c r="M104" s="5">
        <v>148</v>
      </c>
      <c r="N104" s="5">
        <v>4</v>
      </c>
      <c r="O104" s="5" t="s">
        <v>32</v>
      </c>
      <c r="P104" s="5">
        <v>3179</v>
      </c>
      <c r="Q104" s="5" t="s">
        <v>33</v>
      </c>
      <c r="R104" s="2">
        <v>1956692.8</v>
      </c>
      <c r="S104" s="2">
        <v>542468.80000000005</v>
      </c>
      <c r="T104" s="1">
        <v>45892</v>
      </c>
      <c r="U104" s="5">
        <v>8</v>
      </c>
    </row>
    <row r="105" spans="1:21" x14ac:dyDescent="0.3">
      <c r="A105" s="5" t="s">
        <v>166</v>
      </c>
      <c r="B105" s="1">
        <v>45974</v>
      </c>
      <c r="C105" s="5" t="s">
        <v>42</v>
      </c>
      <c r="D105" s="5" t="s">
        <v>53</v>
      </c>
      <c r="E105" s="5" t="s">
        <v>20</v>
      </c>
      <c r="F105" s="5" t="s">
        <v>100</v>
      </c>
      <c r="G105" s="5" t="s">
        <v>22</v>
      </c>
      <c r="H105" s="5" t="s">
        <v>23</v>
      </c>
      <c r="I105" s="5">
        <v>480</v>
      </c>
      <c r="J105" s="5">
        <v>1169</v>
      </c>
      <c r="K105" s="5">
        <v>1738.09</v>
      </c>
      <c r="L105" s="5">
        <v>1815</v>
      </c>
      <c r="M105" s="5">
        <v>192</v>
      </c>
      <c r="N105" s="5">
        <v>5</v>
      </c>
      <c r="O105" s="5" t="s">
        <v>32</v>
      </c>
      <c r="P105" s="5">
        <v>1504</v>
      </c>
      <c r="Q105" s="5" t="s">
        <v>25</v>
      </c>
      <c r="R105" s="2">
        <v>834283.2</v>
      </c>
      <c r="S105" s="2">
        <v>273163.2</v>
      </c>
      <c r="T105" s="1">
        <v>45974</v>
      </c>
      <c r="U105" s="5">
        <v>11</v>
      </c>
    </row>
    <row r="106" spans="1:21" x14ac:dyDescent="0.3">
      <c r="A106" s="5" t="s">
        <v>167</v>
      </c>
      <c r="B106" s="1">
        <v>45835</v>
      </c>
      <c r="C106" s="5" t="s">
        <v>18</v>
      </c>
      <c r="D106" s="5" t="s">
        <v>19</v>
      </c>
      <c r="E106" s="5" t="s">
        <v>49</v>
      </c>
      <c r="F106" s="5" t="s">
        <v>89</v>
      </c>
      <c r="G106" s="5" t="s">
        <v>22</v>
      </c>
      <c r="H106" s="5" t="s">
        <v>39</v>
      </c>
      <c r="I106" s="5">
        <v>148</v>
      </c>
      <c r="J106" s="5">
        <v>4367</v>
      </c>
      <c r="K106" s="5">
        <v>5939.96</v>
      </c>
      <c r="L106" s="5">
        <v>1541</v>
      </c>
      <c r="M106" s="5">
        <v>161</v>
      </c>
      <c r="N106" s="5">
        <v>10</v>
      </c>
      <c r="O106" s="5" t="s">
        <v>24</v>
      </c>
      <c r="P106" s="5">
        <v>7535</v>
      </c>
      <c r="Q106" s="5" t="s">
        <v>33</v>
      </c>
      <c r="R106" s="2">
        <v>879114.08</v>
      </c>
      <c r="S106" s="2">
        <v>232798.07999999999</v>
      </c>
      <c r="T106" s="1">
        <v>45835</v>
      </c>
      <c r="U106" s="5">
        <v>6</v>
      </c>
    </row>
    <row r="107" spans="1:21" x14ac:dyDescent="0.3">
      <c r="A107" s="5" t="s">
        <v>168</v>
      </c>
      <c r="B107" s="1">
        <v>45829</v>
      </c>
      <c r="C107" s="5" t="s">
        <v>35</v>
      </c>
      <c r="D107" s="5" t="s">
        <v>53</v>
      </c>
      <c r="E107" s="5" t="s">
        <v>54</v>
      </c>
      <c r="F107" s="5" t="s">
        <v>87</v>
      </c>
      <c r="G107" s="5" t="s">
        <v>38</v>
      </c>
      <c r="H107" s="5" t="s">
        <v>23</v>
      </c>
      <c r="I107" s="5">
        <v>131</v>
      </c>
      <c r="J107" s="5">
        <v>3443</v>
      </c>
      <c r="K107" s="5">
        <v>4352.3900000000003</v>
      </c>
      <c r="L107" s="5">
        <v>1820</v>
      </c>
      <c r="M107" s="5">
        <v>234</v>
      </c>
      <c r="N107" s="5">
        <v>8</v>
      </c>
      <c r="O107" s="5" t="s">
        <v>24</v>
      </c>
      <c r="P107" s="5">
        <v>3523</v>
      </c>
      <c r="Q107" s="5" t="s">
        <v>25</v>
      </c>
      <c r="R107" s="2">
        <v>570163.09</v>
      </c>
      <c r="S107" s="2">
        <v>119130.09</v>
      </c>
      <c r="T107" s="1">
        <v>45829</v>
      </c>
      <c r="U107" s="5">
        <v>6</v>
      </c>
    </row>
    <row r="108" spans="1:21" x14ac:dyDescent="0.3">
      <c r="A108" s="5" t="s">
        <v>169</v>
      </c>
      <c r="B108" s="1">
        <v>45676</v>
      </c>
      <c r="C108" s="5" t="s">
        <v>35</v>
      </c>
      <c r="D108" s="5" t="s">
        <v>36</v>
      </c>
      <c r="E108" s="5" t="s">
        <v>49</v>
      </c>
      <c r="F108" s="5" t="s">
        <v>75</v>
      </c>
      <c r="G108" s="5" t="s">
        <v>38</v>
      </c>
      <c r="H108" s="5" t="s">
        <v>23</v>
      </c>
      <c r="I108" s="5">
        <v>322</v>
      </c>
      <c r="J108" s="5">
        <v>3705</v>
      </c>
      <c r="K108" s="5">
        <v>4942.8999999999996</v>
      </c>
      <c r="L108" s="5">
        <v>1136</v>
      </c>
      <c r="M108" s="5">
        <v>241</v>
      </c>
      <c r="N108" s="5">
        <v>5</v>
      </c>
      <c r="O108" s="5" t="s">
        <v>32</v>
      </c>
      <c r="P108" s="5">
        <v>2658</v>
      </c>
      <c r="Q108" s="5" t="s">
        <v>33</v>
      </c>
      <c r="R108" s="2">
        <v>1591613.8</v>
      </c>
      <c r="S108" s="2">
        <v>398603.8</v>
      </c>
      <c r="T108" s="1">
        <v>45676</v>
      </c>
      <c r="U108" s="5">
        <v>1</v>
      </c>
    </row>
    <row r="109" spans="1:21" x14ac:dyDescent="0.3">
      <c r="A109" s="5" t="s">
        <v>170</v>
      </c>
      <c r="B109" s="1">
        <v>45874</v>
      </c>
      <c r="C109" s="5" t="s">
        <v>27</v>
      </c>
      <c r="D109" s="5" t="s">
        <v>28</v>
      </c>
      <c r="E109" s="5" t="s">
        <v>49</v>
      </c>
      <c r="F109" s="5" t="s">
        <v>50</v>
      </c>
      <c r="G109" s="5" t="s">
        <v>38</v>
      </c>
      <c r="H109" s="5" t="s">
        <v>39</v>
      </c>
      <c r="I109" s="5">
        <v>71</v>
      </c>
      <c r="J109" s="5">
        <v>4629</v>
      </c>
      <c r="K109" s="5">
        <v>5911.2</v>
      </c>
      <c r="L109" s="5">
        <v>194</v>
      </c>
      <c r="M109" s="5">
        <v>186</v>
      </c>
      <c r="N109" s="5">
        <v>4</v>
      </c>
      <c r="O109" s="5" t="s">
        <v>32</v>
      </c>
      <c r="P109" s="5">
        <v>5633</v>
      </c>
      <c r="Q109" s="5" t="s">
        <v>33</v>
      </c>
      <c r="R109" s="2">
        <v>419695.2</v>
      </c>
      <c r="S109" s="2">
        <v>91036.2</v>
      </c>
      <c r="T109" s="1">
        <v>45874</v>
      </c>
      <c r="U109" s="5">
        <v>8</v>
      </c>
    </row>
    <row r="110" spans="1:21" x14ac:dyDescent="0.3">
      <c r="A110" s="5" t="s">
        <v>171</v>
      </c>
      <c r="B110" s="1">
        <v>45861</v>
      </c>
      <c r="C110" s="5" t="s">
        <v>42</v>
      </c>
      <c r="D110" s="5" t="s">
        <v>36</v>
      </c>
      <c r="E110" s="5" t="s">
        <v>29</v>
      </c>
      <c r="F110" s="5" t="s">
        <v>43</v>
      </c>
      <c r="G110" s="5" t="s">
        <v>38</v>
      </c>
      <c r="H110" s="5" t="s">
        <v>39</v>
      </c>
      <c r="I110" s="5">
        <v>56</v>
      </c>
      <c r="J110" s="5">
        <v>4111</v>
      </c>
      <c r="K110" s="5">
        <v>4828.2700000000004</v>
      </c>
      <c r="L110" s="5">
        <v>1190</v>
      </c>
      <c r="M110" s="5">
        <v>144</v>
      </c>
      <c r="N110" s="5">
        <v>10</v>
      </c>
      <c r="O110" s="5" t="s">
        <v>24</v>
      </c>
      <c r="P110" s="5">
        <v>1723</v>
      </c>
      <c r="Q110" s="5" t="s">
        <v>25</v>
      </c>
      <c r="R110" s="2">
        <v>270383.12</v>
      </c>
      <c r="S110" s="2">
        <v>40167.120000000003</v>
      </c>
      <c r="T110" s="1">
        <v>45861</v>
      </c>
      <c r="U110" s="5">
        <v>7</v>
      </c>
    </row>
    <row r="111" spans="1:21" x14ac:dyDescent="0.3">
      <c r="A111" s="5" t="s">
        <v>172</v>
      </c>
      <c r="B111" s="1">
        <v>45824</v>
      </c>
      <c r="C111" s="5" t="s">
        <v>42</v>
      </c>
      <c r="D111" s="5" t="s">
        <v>19</v>
      </c>
      <c r="E111" s="5" t="s">
        <v>29</v>
      </c>
      <c r="F111" s="5" t="s">
        <v>58</v>
      </c>
      <c r="G111" s="5" t="s">
        <v>38</v>
      </c>
      <c r="H111" s="5" t="s">
        <v>23</v>
      </c>
      <c r="I111" s="5">
        <v>354</v>
      </c>
      <c r="J111" s="5">
        <v>2772</v>
      </c>
      <c r="K111" s="5">
        <v>3910.26</v>
      </c>
      <c r="L111" s="5">
        <v>938</v>
      </c>
      <c r="M111" s="5">
        <v>193</v>
      </c>
      <c r="N111" s="5">
        <v>1</v>
      </c>
      <c r="O111" s="5" t="s">
        <v>24</v>
      </c>
      <c r="P111" s="5">
        <v>4183</v>
      </c>
      <c r="Q111" s="5" t="s">
        <v>33</v>
      </c>
      <c r="R111" s="2">
        <v>1384232.04</v>
      </c>
      <c r="S111" s="2">
        <v>402944.04</v>
      </c>
      <c r="T111" s="1">
        <v>45824</v>
      </c>
      <c r="U111" s="5">
        <v>6</v>
      </c>
    </row>
    <row r="112" spans="1:21" x14ac:dyDescent="0.3">
      <c r="A112" s="5" t="s">
        <v>173</v>
      </c>
      <c r="B112" s="1">
        <v>45933</v>
      </c>
      <c r="C112" s="5" t="s">
        <v>27</v>
      </c>
      <c r="D112" s="5" t="s">
        <v>19</v>
      </c>
      <c r="E112" s="5" t="s">
        <v>54</v>
      </c>
      <c r="F112" s="5" t="s">
        <v>78</v>
      </c>
      <c r="G112" s="5" t="s">
        <v>31</v>
      </c>
      <c r="H112" s="5" t="s">
        <v>23</v>
      </c>
      <c r="I112" s="5">
        <v>444</v>
      </c>
      <c r="J112" s="5">
        <v>564</v>
      </c>
      <c r="K112" s="5">
        <v>777.9</v>
      </c>
      <c r="L112" s="5">
        <v>89</v>
      </c>
      <c r="M112" s="5">
        <v>106</v>
      </c>
      <c r="N112" s="5">
        <v>5</v>
      </c>
      <c r="O112" s="5" t="s">
        <v>32</v>
      </c>
      <c r="P112" s="5">
        <v>568</v>
      </c>
      <c r="Q112" s="5" t="s">
        <v>33</v>
      </c>
      <c r="R112" s="2">
        <v>345387.6</v>
      </c>
      <c r="S112" s="2">
        <v>94971.6</v>
      </c>
      <c r="T112" s="1">
        <v>45933</v>
      </c>
      <c r="U112" s="5">
        <v>10</v>
      </c>
    </row>
    <row r="113" spans="1:21" x14ac:dyDescent="0.3">
      <c r="A113" s="5" t="s">
        <v>174</v>
      </c>
      <c r="B113" s="1">
        <v>45992</v>
      </c>
      <c r="C113" s="5" t="s">
        <v>35</v>
      </c>
      <c r="D113" s="5" t="s">
        <v>28</v>
      </c>
      <c r="E113" s="5" t="s">
        <v>29</v>
      </c>
      <c r="F113" s="5" t="s">
        <v>69</v>
      </c>
      <c r="G113" s="5" t="s">
        <v>22</v>
      </c>
      <c r="H113" s="5" t="s">
        <v>39</v>
      </c>
      <c r="I113" s="5">
        <v>222</v>
      </c>
      <c r="J113" s="5">
        <v>2400</v>
      </c>
      <c r="K113" s="5">
        <v>2920.24</v>
      </c>
      <c r="L113" s="5">
        <v>635</v>
      </c>
      <c r="M113" s="5">
        <v>86</v>
      </c>
      <c r="N113" s="5">
        <v>10</v>
      </c>
      <c r="O113" s="5" t="s">
        <v>24</v>
      </c>
      <c r="P113" s="5">
        <v>1633</v>
      </c>
      <c r="Q113" s="5" t="s">
        <v>40</v>
      </c>
      <c r="R113" s="2">
        <v>648293.28</v>
      </c>
      <c r="S113" s="2">
        <v>115493.28</v>
      </c>
      <c r="T113" s="1">
        <v>45992</v>
      </c>
      <c r="U113" s="5">
        <v>12</v>
      </c>
    </row>
    <row r="114" spans="1:21" x14ac:dyDescent="0.3">
      <c r="A114" s="5" t="s">
        <v>175</v>
      </c>
      <c r="B114" s="1">
        <v>45760</v>
      </c>
      <c r="C114" s="5" t="s">
        <v>42</v>
      </c>
      <c r="D114" s="5" t="s">
        <v>28</v>
      </c>
      <c r="E114" s="5" t="s">
        <v>20</v>
      </c>
      <c r="F114" s="5" t="s">
        <v>100</v>
      </c>
      <c r="G114" s="5" t="s">
        <v>22</v>
      </c>
      <c r="H114" s="5" t="s">
        <v>23</v>
      </c>
      <c r="I114" s="5">
        <v>376</v>
      </c>
      <c r="J114" s="5">
        <v>3516</v>
      </c>
      <c r="K114" s="5">
        <v>4296.08</v>
      </c>
      <c r="L114" s="5">
        <v>1333</v>
      </c>
      <c r="M114" s="5">
        <v>160</v>
      </c>
      <c r="N114" s="5">
        <v>5</v>
      </c>
      <c r="O114" s="5" t="s">
        <v>32</v>
      </c>
      <c r="P114" s="5">
        <v>7143</v>
      </c>
      <c r="Q114" s="5" t="s">
        <v>33</v>
      </c>
      <c r="R114" s="2">
        <v>1615326.08</v>
      </c>
      <c r="S114" s="2">
        <v>293310.08000000002</v>
      </c>
      <c r="T114" s="1">
        <v>45760</v>
      </c>
      <c r="U114" s="5">
        <v>4</v>
      </c>
    </row>
    <row r="115" spans="1:21" x14ac:dyDescent="0.3">
      <c r="A115" s="5" t="s">
        <v>176</v>
      </c>
      <c r="B115" s="1">
        <v>45986</v>
      </c>
      <c r="C115" s="5" t="s">
        <v>35</v>
      </c>
      <c r="D115" s="5" t="s">
        <v>53</v>
      </c>
      <c r="E115" s="5" t="s">
        <v>54</v>
      </c>
      <c r="F115" s="5" t="s">
        <v>81</v>
      </c>
      <c r="G115" s="5" t="s">
        <v>31</v>
      </c>
      <c r="H115" s="5" t="s">
        <v>39</v>
      </c>
      <c r="I115" s="5">
        <v>403</v>
      </c>
      <c r="J115" s="5">
        <v>202</v>
      </c>
      <c r="K115" s="5">
        <v>265.45</v>
      </c>
      <c r="L115" s="5">
        <v>1848</v>
      </c>
      <c r="M115" s="5">
        <v>286</v>
      </c>
      <c r="N115" s="5">
        <v>9</v>
      </c>
      <c r="O115" s="5" t="s">
        <v>24</v>
      </c>
      <c r="P115" s="5">
        <v>6694</v>
      </c>
      <c r="Q115" s="5" t="s">
        <v>46</v>
      </c>
      <c r="R115" s="2">
        <v>106976.35</v>
      </c>
      <c r="S115" s="2">
        <v>25570.35</v>
      </c>
      <c r="T115" s="1">
        <v>45986</v>
      </c>
      <c r="U115" s="5">
        <v>11</v>
      </c>
    </row>
    <row r="116" spans="1:21" x14ac:dyDescent="0.3">
      <c r="A116" s="5" t="s">
        <v>177</v>
      </c>
      <c r="B116" s="1">
        <v>45740</v>
      </c>
      <c r="C116" s="5" t="s">
        <v>27</v>
      </c>
      <c r="D116" s="5" t="s">
        <v>28</v>
      </c>
      <c r="E116" s="5" t="s">
        <v>54</v>
      </c>
      <c r="F116" s="5" t="s">
        <v>55</v>
      </c>
      <c r="G116" s="5" t="s">
        <v>56</v>
      </c>
      <c r="H116" s="5" t="s">
        <v>39</v>
      </c>
      <c r="I116" s="5">
        <v>147</v>
      </c>
      <c r="J116" s="5">
        <v>1861</v>
      </c>
      <c r="K116" s="5">
        <v>2537.42</v>
      </c>
      <c r="L116" s="5">
        <v>838</v>
      </c>
      <c r="M116" s="5">
        <v>219</v>
      </c>
      <c r="N116" s="5">
        <v>9</v>
      </c>
      <c r="O116" s="5" t="s">
        <v>24</v>
      </c>
      <c r="P116" s="5">
        <v>2964</v>
      </c>
      <c r="Q116" s="5" t="s">
        <v>46</v>
      </c>
      <c r="R116" s="2">
        <v>373000.74</v>
      </c>
      <c r="S116" s="2">
        <v>99433.74</v>
      </c>
      <c r="T116" s="1">
        <v>45740</v>
      </c>
      <c r="U116" s="5">
        <v>3</v>
      </c>
    </row>
    <row r="117" spans="1:21" x14ac:dyDescent="0.3">
      <c r="A117" s="5" t="s">
        <v>178</v>
      </c>
      <c r="B117" s="1">
        <v>45902</v>
      </c>
      <c r="C117" s="5" t="s">
        <v>42</v>
      </c>
      <c r="D117" s="5" t="s">
        <v>53</v>
      </c>
      <c r="E117" s="5" t="s">
        <v>20</v>
      </c>
      <c r="F117" s="5" t="s">
        <v>45</v>
      </c>
      <c r="G117" s="5" t="s">
        <v>31</v>
      </c>
      <c r="H117" s="5" t="s">
        <v>51</v>
      </c>
      <c r="I117" s="5">
        <v>32</v>
      </c>
      <c r="J117" s="5">
        <v>2468</v>
      </c>
      <c r="K117" s="5">
        <v>3026.59</v>
      </c>
      <c r="L117" s="5">
        <v>1531</v>
      </c>
      <c r="M117" s="5">
        <v>262</v>
      </c>
      <c r="N117" s="5">
        <v>5</v>
      </c>
      <c r="O117" s="5" t="s">
        <v>32</v>
      </c>
      <c r="P117" s="5">
        <v>5848</v>
      </c>
      <c r="Q117" s="5" t="s">
        <v>33</v>
      </c>
      <c r="R117" s="2">
        <v>96850.880000000005</v>
      </c>
      <c r="S117" s="2">
        <v>17874.88</v>
      </c>
      <c r="T117" s="1">
        <v>45902</v>
      </c>
      <c r="U117" s="5">
        <v>9</v>
      </c>
    </row>
    <row r="118" spans="1:21" x14ac:dyDescent="0.3">
      <c r="A118" s="5" t="s">
        <v>179</v>
      </c>
      <c r="B118" s="1">
        <v>45807</v>
      </c>
      <c r="C118" s="5" t="s">
        <v>18</v>
      </c>
      <c r="D118" s="5" t="s">
        <v>53</v>
      </c>
      <c r="E118" s="5" t="s">
        <v>49</v>
      </c>
      <c r="F118" s="5" t="s">
        <v>65</v>
      </c>
      <c r="G118" s="5" t="s">
        <v>56</v>
      </c>
      <c r="H118" s="5" t="s">
        <v>51</v>
      </c>
      <c r="I118" s="5">
        <v>24</v>
      </c>
      <c r="J118" s="5">
        <v>359</v>
      </c>
      <c r="K118" s="5">
        <v>504.6</v>
      </c>
      <c r="L118" s="5">
        <v>495</v>
      </c>
      <c r="M118" s="5">
        <v>290</v>
      </c>
      <c r="N118" s="5">
        <v>3</v>
      </c>
      <c r="O118" s="5" t="s">
        <v>32</v>
      </c>
      <c r="P118" s="5">
        <v>6546</v>
      </c>
      <c r="Q118" s="5" t="s">
        <v>33</v>
      </c>
      <c r="R118" s="2">
        <v>12110.4</v>
      </c>
      <c r="S118" s="2">
        <v>3494.4</v>
      </c>
      <c r="T118" s="1">
        <v>45807</v>
      </c>
      <c r="U118" s="5">
        <v>5</v>
      </c>
    </row>
    <row r="119" spans="1:21" x14ac:dyDescent="0.3">
      <c r="A119" s="5" t="s">
        <v>180</v>
      </c>
      <c r="B119" s="1">
        <v>45963</v>
      </c>
      <c r="C119" s="5" t="s">
        <v>18</v>
      </c>
      <c r="D119" s="5" t="s">
        <v>53</v>
      </c>
      <c r="E119" s="5" t="s">
        <v>49</v>
      </c>
      <c r="F119" s="5" t="s">
        <v>94</v>
      </c>
      <c r="G119" s="5" t="s">
        <v>38</v>
      </c>
      <c r="H119" s="5" t="s">
        <v>51</v>
      </c>
      <c r="I119" s="5">
        <v>193</v>
      </c>
      <c r="J119" s="5">
        <v>890</v>
      </c>
      <c r="K119" s="5">
        <v>1294.92</v>
      </c>
      <c r="L119" s="5">
        <v>960</v>
      </c>
      <c r="M119" s="5">
        <v>262</v>
      </c>
      <c r="N119" s="5">
        <v>10</v>
      </c>
      <c r="O119" s="5" t="s">
        <v>24</v>
      </c>
      <c r="P119" s="5">
        <v>6728</v>
      </c>
      <c r="Q119" s="5" t="s">
        <v>40</v>
      </c>
      <c r="R119" s="2">
        <v>249919.56</v>
      </c>
      <c r="S119" s="2">
        <v>78149.56</v>
      </c>
      <c r="T119" s="1">
        <v>45963</v>
      </c>
      <c r="U119" s="5">
        <v>11</v>
      </c>
    </row>
    <row r="120" spans="1:21" x14ac:dyDescent="0.3">
      <c r="A120" s="5" t="s">
        <v>181</v>
      </c>
      <c r="B120" s="1">
        <v>45781</v>
      </c>
      <c r="C120" s="5" t="s">
        <v>42</v>
      </c>
      <c r="D120" s="5" t="s">
        <v>36</v>
      </c>
      <c r="E120" s="5" t="s">
        <v>49</v>
      </c>
      <c r="F120" s="5" t="s">
        <v>89</v>
      </c>
      <c r="G120" s="5" t="s">
        <v>56</v>
      </c>
      <c r="H120" s="5" t="s">
        <v>51</v>
      </c>
      <c r="I120" s="5">
        <v>292</v>
      </c>
      <c r="J120" s="5">
        <v>488</v>
      </c>
      <c r="K120" s="5">
        <v>685.69</v>
      </c>
      <c r="L120" s="5">
        <v>461</v>
      </c>
      <c r="M120" s="5">
        <v>110</v>
      </c>
      <c r="N120" s="5">
        <v>2</v>
      </c>
      <c r="O120" s="5" t="s">
        <v>32</v>
      </c>
      <c r="P120" s="5">
        <v>2897</v>
      </c>
      <c r="Q120" s="5" t="s">
        <v>33</v>
      </c>
      <c r="R120" s="2">
        <v>200221.48</v>
      </c>
      <c r="S120" s="2">
        <v>57725.48</v>
      </c>
      <c r="T120" s="1">
        <v>45781</v>
      </c>
      <c r="U120" s="5">
        <v>5</v>
      </c>
    </row>
    <row r="121" spans="1:21" x14ac:dyDescent="0.3">
      <c r="A121" s="5" t="s">
        <v>182</v>
      </c>
      <c r="B121" s="1">
        <v>45695</v>
      </c>
      <c r="C121" s="5" t="s">
        <v>18</v>
      </c>
      <c r="D121" s="5" t="s">
        <v>19</v>
      </c>
      <c r="E121" s="5" t="s">
        <v>29</v>
      </c>
      <c r="F121" s="5" t="s">
        <v>43</v>
      </c>
      <c r="G121" s="5" t="s">
        <v>38</v>
      </c>
      <c r="H121" s="5" t="s">
        <v>23</v>
      </c>
      <c r="I121" s="5">
        <v>46</v>
      </c>
      <c r="J121" s="5">
        <v>817</v>
      </c>
      <c r="K121" s="5">
        <v>1031.4100000000001</v>
      </c>
      <c r="L121" s="5">
        <v>720</v>
      </c>
      <c r="M121" s="5">
        <v>118</v>
      </c>
      <c r="N121" s="5">
        <v>9</v>
      </c>
      <c r="O121" s="5" t="s">
        <v>24</v>
      </c>
      <c r="P121" s="5">
        <v>6331</v>
      </c>
      <c r="Q121" s="5" t="s">
        <v>33</v>
      </c>
      <c r="R121" s="2">
        <v>47444.86</v>
      </c>
      <c r="S121" s="2">
        <v>9862.86</v>
      </c>
      <c r="T121" s="1">
        <v>45695</v>
      </c>
      <c r="U121" s="5">
        <v>2</v>
      </c>
    </row>
    <row r="122" spans="1:21" x14ac:dyDescent="0.3">
      <c r="A122" s="5" t="s">
        <v>183</v>
      </c>
      <c r="B122" s="1">
        <v>45835</v>
      </c>
      <c r="C122" s="5" t="s">
        <v>27</v>
      </c>
      <c r="D122" s="5" t="s">
        <v>53</v>
      </c>
      <c r="E122" s="5" t="s">
        <v>29</v>
      </c>
      <c r="F122" s="5" t="s">
        <v>43</v>
      </c>
      <c r="G122" s="5" t="s">
        <v>22</v>
      </c>
      <c r="H122" s="5" t="s">
        <v>23</v>
      </c>
      <c r="I122" s="5">
        <v>249</v>
      </c>
      <c r="J122" s="5">
        <v>1927</v>
      </c>
      <c r="K122" s="5">
        <v>2676.8</v>
      </c>
      <c r="L122" s="5">
        <v>1498</v>
      </c>
      <c r="M122" s="5">
        <v>116</v>
      </c>
      <c r="N122" s="5">
        <v>7</v>
      </c>
      <c r="O122" s="5" t="s">
        <v>24</v>
      </c>
      <c r="P122" s="5">
        <v>2219</v>
      </c>
      <c r="Q122" s="5" t="s">
        <v>40</v>
      </c>
      <c r="R122" s="2">
        <v>666523.19999999995</v>
      </c>
      <c r="S122" s="2">
        <v>186700.2</v>
      </c>
      <c r="T122" s="1">
        <v>45835</v>
      </c>
      <c r="U122" s="5">
        <v>6</v>
      </c>
    </row>
    <row r="123" spans="1:21" x14ac:dyDescent="0.3">
      <c r="A123" s="5" t="s">
        <v>184</v>
      </c>
      <c r="B123" s="1">
        <v>45699</v>
      </c>
      <c r="C123" s="5" t="s">
        <v>42</v>
      </c>
      <c r="D123" s="5" t="s">
        <v>36</v>
      </c>
      <c r="E123" s="5" t="s">
        <v>49</v>
      </c>
      <c r="F123" s="5" t="s">
        <v>75</v>
      </c>
      <c r="G123" s="5" t="s">
        <v>31</v>
      </c>
      <c r="H123" s="5" t="s">
        <v>23</v>
      </c>
      <c r="I123" s="5">
        <v>78</v>
      </c>
      <c r="J123" s="5">
        <v>2844</v>
      </c>
      <c r="K123" s="5">
        <v>3990.68</v>
      </c>
      <c r="L123" s="5">
        <v>1437</v>
      </c>
      <c r="M123" s="5">
        <v>290</v>
      </c>
      <c r="N123" s="5">
        <v>7</v>
      </c>
      <c r="O123" s="5" t="s">
        <v>24</v>
      </c>
      <c r="P123" s="5">
        <v>6741</v>
      </c>
      <c r="Q123" s="5" t="s">
        <v>25</v>
      </c>
      <c r="R123" s="2">
        <v>311273.03999999998</v>
      </c>
      <c r="S123" s="2">
        <v>89441.04</v>
      </c>
      <c r="T123" s="1">
        <v>45699</v>
      </c>
      <c r="U123" s="5">
        <v>2</v>
      </c>
    </row>
    <row r="124" spans="1:21" x14ac:dyDescent="0.3">
      <c r="A124" s="5" t="s">
        <v>185</v>
      </c>
      <c r="B124" s="1">
        <v>46008</v>
      </c>
      <c r="C124" s="5" t="s">
        <v>18</v>
      </c>
      <c r="D124" s="5" t="s">
        <v>62</v>
      </c>
      <c r="E124" s="5" t="s">
        <v>54</v>
      </c>
      <c r="F124" s="5" t="s">
        <v>87</v>
      </c>
      <c r="G124" s="5" t="s">
        <v>22</v>
      </c>
      <c r="H124" s="5" t="s">
        <v>51</v>
      </c>
      <c r="I124" s="5">
        <v>485</v>
      </c>
      <c r="J124" s="5">
        <v>3140</v>
      </c>
      <c r="K124" s="5">
        <v>3691.17</v>
      </c>
      <c r="L124" s="5">
        <v>1368</v>
      </c>
      <c r="M124" s="5">
        <v>267</v>
      </c>
      <c r="N124" s="5">
        <v>3</v>
      </c>
      <c r="O124" s="5" t="s">
        <v>32</v>
      </c>
      <c r="P124" s="5">
        <v>3439</v>
      </c>
      <c r="Q124" s="5" t="s">
        <v>25</v>
      </c>
      <c r="R124" s="2">
        <v>1790217.45</v>
      </c>
      <c r="S124" s="2">
        <v>267317.45</v>
      </c>
      <c r="T124" s="1">
        <v>46008</v>
      </c>
      <c r="U124" s="5">
        <v>12</v>
      </c>
    </row>
    <row r="125" spans="1:21" x14ac:dyDescent="0.3">
      <c r="A125" s="5" t="s">
        <v>186</v>
      </c>
      <c r="B125" s="1">
        <v>45815</v>
      </c>
      <c r="C125" s="5" t="s">
        <v>35</v>
      </c>
      <c r="D125" s="5" t="s">
        <v>53</v>
      </c>
      <c r="E125" s="5" t="s">
        <v>49</v>
      </c>
      <c r="F125" s="5" t="s">
        <v>65</v>
      </c>
      <c r="G125" s="5" t="s">
        <v>56</v>
      </c>
      <c r="H125" s="5" t="s">
        <v>23</v>
      </c>
      <c r="I125" s="5">
        <v>461</v>
      </c>
      <c r="J125" s="5">
        <v>3893</v>
      </c>
      <c r="K125" s="5">
        <v>5549.99</v>
      </c>
      <c r="L125" s="5">
        <v>1048</v>
      </c>
      <c r="M125" s="5">
        <v>174</v>
      </c>
      <c r="N125" s="5">
        <v>9</v>
      </c>
      <c r="O125" s="5" t="s">
        <v>24</v>
      </c>
      <c r="P125" s="5">
        <v>2628</v>
      </c>
      <c r="Q125" s="5" t="s">
        <v>40</v>
      </c>
      <c r="R125" s="2">
        <v>2558545.39</v>
      </c>
      <c r="S125" s="2">
        <v>763872.39</v>
      </c>
      <c r="T125" s="1">
        <v>45815</v>
      </c>
      <c r="U125" s="5">
        <v>6</v>
      </c>
    </row>
    <row r="126" spans="1:21" x14ac:dyDescent="0.3">
      <c r="A126" s="5" t="s">
        <v>187</v>
      </c>
      <c r="B126" s="1">
        <v>45883</v>
      </c>
      <c r="C126" s="5" t="s">
        <v>18</v>
      </c>
      <c r="D126" s="5" t="s">
        <v>53</v>
      </c>
      <c r="E126" s="5" t="s">
        <v>54</v>
      </c>
      <c r="F126" s="5" t="s">
        <v>81</v>
      </c>
      <c r="G126" s="5" t="s">
        <v>56</v>
      </c>
      <c r="H126" s="5" t="s">
        <v>51</v>
      </c>
      <c r="I126" s="5">
        <v>170</v>
      </c>
      <c r="J126" s="5">
        <v>2360</v>
      </c>
      <c r="K126" s="5">
        <v>3239.41</v>
      </c>
      <c r="L126" s="5">
        <v>1009</v>
      </c>
      <c r="M126" s="5">
        <v>241</v>
      </c>
      <c r="N126" s="5">
        <v>10</v>
      </c>
      <c r="O126" s="5" t="s">
        <v>24</v>
      </c>
      <c r="P126" s="5">
        <v>2205</v>
      </c>
      <c r="Q126" s="5" t="s">
        <v>33</v>
      </c>
      <c r="R126" s="2">
        <v>550699.69999999995</v>
      </c>
      <c r="S126" s="2">
        <v>149499.70000000001</v>
      </c>
      <c r="T126" s="1">
        <v>45883</v>
      </c>
      <c r="U126" s="5">
        <v>8</v>
      </c>
    </row>
    <row r="127" spans="1:21" x14ac:dyDescent="0.3">
      <c r="A127" s="5" t="s">
        <v>188</v>
      </c>
      <c r="B127" s="1">
        <v>45955</v>
      </c>
      <c r="C127" s="5" t="s">
        <v>42</v>
      </c>
      <c r="D127" s="5" t="s">
        <v>28</v>
      </c>
      <c r="E127" s="5" t="s">
        <v>49</v>
      </c>
      <c r="F127" s="5" t="s">
        <v>94</v>
      </c>
      <c r="G127" s="5" t="s">
        <v>22</v>
      </c>
      <c r="H127" s="5" t="s">
        <v>51</v>
      </c>
      <c r="I127" s="5">
        <v>70</v>
      </c>
      <c r="J127" s="5">
        <v>4611</v>
      </c>
      <c r="K127" s="5">
        <v>6590.28</v>
      </c>
      <c r="L127" s="5">
        <v>1267</v>
      </c>
      <c r="M127" s="5">
        <v>95</v>
      </c>
      <c r="N127" s="5">
        <v>6</v>
      </c>
      <c r="O127" s="5" t="s">
        <v>24</v>
      </c>
      <c r="P127" s="5">
        <v>7053</v>
      </c>
      <c r="Q127" s="5" t="s">
        <v>25</v>
      </c>
      <c r="R127" s="2">
        <v>461319.6</v>
      </c>
      <c r="S127" s="2">
        <v>138549.6</v>
      </c>
      <c r="T127" s="1">
        <v>45955</v>
      </c>
      <c r="U127" s="5">
        <v>10</v>
      </c>
    </row>
    <row r="128" spans="1:21" x14ac:dyDescent="0.3">
      <c r="A128" s="5" t="s">
        <v>189</v>
      </c>
      <c r="B128" s="1">
        <v>46015</v>
      </c>
      <c r="C128" s="5" t="s">
        <v>27</v>
      </c>
      <c r="D128" s="5" t="s">
        <v>53</v>
      </c>
      <c r="E128" s="5" t="s">
        <v>20</v>
      </c>
      <c r="F128" s="5" t="s">
        <v>45</v>
      </c>
      <c r="G128" s="5" t="s">
        <v>22</v>
      </c>
      <c r="H128" s="5" t="s">
        <v>23</v>
      </c>
      <c r="I128" s="5">
        <v>28</v>
      </c>
      <c r="J128" s="5">
        <v>1185</v>
      </c>
      <c r="K128" s="5">
        <v>1620.14</v>
      </c>
      <c r="L128" s="5">
        <v>1571</v>
      </c>
      <c r="M128" s="5">
        <v>236</v>
      </c>
      <c r="N128" s="5">
        <v>7</v>
      </c>
      <c r="O128" s="5" t="s">
        <v>24</v>
      </c>
      <c r="P128" s="5">
        <v>1890</v>
      </c>
      <c r="Q128" s="5" t="s">
        <v>25</v>
      </c>
      <c r="R128" s="2">
        <v>45363.92</v>
      </c>
      <c r="S128" s="2">
        <v>12183.92</v>
      </c>
      <c r="T128" s="1">
        <v>46015</v>
      </c>
      <c r="U128" s="5">
        <v>12</v>
      </c>
    </row>
    <row r="129" spans="1:21" x14ac:dyDescent="0.3">
      <c r="A129" s="5" t="s">
        <v>190</v>
      </c>
      <c r="B129" s="1">
        <v>45926</v>
      </c>
      <c r="C129" s="5" t="s">
        <v>42</v>
      </c>
      <c r="D129" s="5" t="s">
        <v>53</v>
      </c>
      <c r="E129" s="5" t="s">
        <v>49</v>
      </c>
      <c r="F129" s="5" t="s">
        <v>89</v>
      </c>
      <c r="G129" s="5" t="s">
        <v>56</v>
      </c>
      <c r="H129" s="5" t="s">
        <v>39</v>
      </c>
      <c r="I129" s="5">
        <v>300</v>
      </c>
      <c r="J129" s="5">
        <v>4973</v>
      </c>
      <c r="K129" s="5">
        <v>6841.38</v>
      </c>
      <c r="L129" s="5">
        <v>199</v>
      </c>
      <c r="M129" s="5">
        <v>238</v>
      </c>
      <c r="N129" s="5">
        <v>10</v>
      </c>
      <c r="O129" s="5" t="s">
        <v>24</v>
      </c>
      <c r="P129" s="5">
        <v>6565</v>
      </c>
      <c r="Q129" s="5" t="s">
        <v>46</v>
      </c>
      <c r="R129" s="2">
        <v>2052414</v>
      </c>
      <c r="S129" s="2">
        <v>560514</v>
      </c>
      <c r="T129" s="1">
        <v>45926</v>
      </c>
      <c r="U129" s="5">
        <v>9</v>
      </c>
    </row>
    <row r="130" spans="1:21" x14ac:dyDescent="0.3">
      <c r="A130" s="5" t="s">
        <v>191</v>
      </c>
      <c r="B130" s="1">
        <v>45671</v>
      </c>
      <c r="C130" s="5" t="s">
        <v>42</v>
      </c>
      <c r="D130" s="5" t="s">
        <v>36</v>
      </c>
      <c r="E130" s="5" t="s">
        <v>20</v>
      </c>
      <c r="F130" s="5" t="s">
        <v>60</v>
      </c>
      <c r="G130" s="5" t="s">
        <v>22</v>
      </c>
      <c r="H130" s="5" t="s">
        <v>23</v>
      </c>
      <c r="I130" s="5">
        <v>65</v>
      </c>
      <c r="J130" s="5">
        <v>4900</v>
      </c>
      <c r="K130" s="5">
        <v>5928.96</v>
      </c>
      <c r="L130" s="5">
        <v>1927</v>
      </c>
      <c r="M130" s="5">
        <v>276</v>
      </c>
      <c r="N130" s="5">
        <v>2</v>
      </c>
      <c r="O130" s="5" t="s">
        <v>32</v>
      </c>
      <c r="P130" s="5">
        <v>2492</v>
      </c>
      <c r="Q130" s="5" t="s">
        <v>33</v>
      </c>
      <c r="R130" s="2">
        <v>385382.40000000002</v>
      </c>
      <c r="S130" s="2">
        <v>66882.399999999994</v>
      </c>
      <c r="T130" s="1">
        <v>45671</v>
      </c>
      <c r="U130" s="5">
        <v>1</v>
      </c>
    </row>
    <row r="131" spans="1:21" x14ac:dyDescent="0.3">
      <c r="A131" s="5" t="s">
        <v>192</v>
      </c>
      <c r="B131" s="1">
        <v>45986</v>
      </c>
      <c r="C131" s="5" t="s">
        <v>18</v>
      </c>
      <c r="D131" s="5" t="s">
        <v>28</v>
      </c>
      <c r="E131" s="5" t="s">
        <v>54</v>
      </c>
      <c r="F131" s="5" t="s">
        <v>63</v>
      </c>
      <c r="G131" s="5" t="s">
        <v>31</v>
      </c>
      <c r="H131" s="5" t="s">
        <v>23</v>
      </c>
      <c r="I131" s="5">
        <v>344</v>
      </c>
      <c r="J131" s="5">
        <v>1646</v>
      </c>
      <c r="K131" s="5">
        <v>2292.39</v>
      </c>
      <c r="L131" s="5">
        <v>1824</v>
      </c>
      <c r="M131" s="5">
        <v>118</v>
      </c>
      <c r="N131" s="5">
        <v>10</v>
      </c>
      <c r="O131" s="5" t="s">
        <v>24</v>
      </c>
      <c r="P131" s="5">
        <v>1422</v>
      </c>
      <c r="Q131" s="5" t="s">
        <v>46</v>
      </c>
      <c r="R131" s="2">
        <v>788582.16</v>
      </c>
      <c r="S131" s="2">
        <v>222358.16</v>
      </c>
      <c r="T131" s="1">
        <v>45986</v>
      </c>
      <c r="U131" s="5">
        <v>11</v>
      </c>
    </row>
    <row r="132" spans="1:21" x14ac:dyDescent="0.3">
      <c r="A132" s="5" t="s">
        <v>193</v>
      </c>
      <c r="B132" s="1">
        <v>45985</v>
      </c>
      <c r="C132" s="5" t="s">
        <v>42</v>
      </c>
      <c r="D132" s="5" t="s">
        <v>53</v>
      </c>
      <c r="E132" s="5" t="s">
        <v>49</v>
      </c>
      <c r="F132" s="5" t="s">
        <v>65</v>
      </c>
      <c r="G132" s="5" t="s">
        <v>38</v>
      </c>
      <c r="H132" s="5" t="s">
        <v>23</v>
      </c>
      <c r="I132" s="5">
        <v>295</v>
      </c>
      <c r="J132" s="5">
        <v>1657</v>
      </c>
      <c r="K132" s="5">
        <v>2251.86</v>
      </c>
      <c r="L132" s="5">
        <v>632</v>
      </c>
      <c r="M132" s="5">
        <v>204</v>
      </c>
      <c r="N132" s="5">
        <v>6</v>
      </c>
      <c r="O132" s="5" t="s">
        <v>24</v>
      </c>
      <c r="P132" s="5">
        <v>6522</v>
      </c>
      <c r="Q132" s="5" t="s">
        <v>40</v>
      </c>
      <c r="R132" s="2">
        <v>664298.69999999995</v>
      </c>
      <c r="S132" s="2">
        <v>175483.7</v>
      </c>
      <c r="T132" s="1">
        <v>45985</v>
      </c>
      <c r="U132" s="5">
        <v>11</v>
      </c>
    </row>
    <row r="133" spans="1:21" x14ac:dyDescent="0.3">
      <c r="A133" s="5" t="s">
        <v>194</v>
      </c>
      <c r="B133" s="1">
        <v>45763</v>
      </c>
      <c r="C133" s="5" t="s">
        <v>42</v>
      </c>
      <c r="D133" s="5" t="s">
        <v>19</v>
      </c>
      <c r="E133" s="5" t="s">
        <v>54</v>
      </c>
      <c r="F133" s="5" t="s">
        <v>55</v>
      </c>
      <c r="G133" s="5" t="s">
        <v>38</v>
      </c>
      <c r="H133" s="5" t="s">
        <v>51</v>
      </c>
      <c r="I133" s="5">
        <v>345</v>
      </c>
      <c r="J133" s="5">
        <v>1561</v>
      </c>
      <c r="K133" s="5">
        <v>2102.2800000000002</v>
      </c>
      <c r="L133" s="5">
        <v>733</v>
      </c>
      <c r="M133" s="5">
        <v>105</v>
      </c>
      <c r="N133" s="5">
        <v>1</v>
      </c>
      <c r="O133" s="5" t="s">
        <v>32</v>
      </c>
      <c r="P133" s="5">
        <v>3851</v>
      </c>
      <c r="Q133" s="5" t="s">
        <v>33</v>
      </c>
      <c r="R133" s="2">
        <v>725286.6</v>
      </c>
      <c r="S133" s="2">
        <v>186741.6</v>
      </c>
      <c r="T133" s="1">
        <v>45763</v>
      </c>
      <c r="U133" s="5">
        <v>4</v>
      </c>
    </row>
    <row r="134" spans="1:21" x14ac:dyDescent="0.3">
      <c r="A134" s="5" t="s">
        <v>195</v>
      </c>
      <c r="B134" s="1">
        <v>45961</v>
      </c>
      <c r="C134" s="5" t="s">
        <v>42</v>
      </c>
      <c r="D134" s="5" t="s">
        <v>28</v>
      </c>
      <c r="E134" s="5" t="s">
        <v>29</v>
      </c>
      <c r="F134" s="5" t="s">
        <v>73</v>
      </c>
      <c r="G134" s="5" t="s">
        <v>38</v>
      </c>
      <c r="H134" s="5" t="s">
        <v>51</v>
      </c>
      <c r="I134" s="5">
        <v>309</v>
      </c>
      <c r="J134" s="5">
        <v>2252</v>
      </c>
      <c r="K134" s="5">
        <v>2876.97</v>
      </c>
      <c r="L134" s="5">
        <v>1510</v>
      </c>
      <c r="M134" s="5">
        <v>290</v>
      </c>
      <c r="N134" s="5">
        <v>5</v>
      </c>
      <c r="O134" s="5" t="s">
        <v>32</v>
      </c>
      <c r="P134" s="5">
        <v>7921</v>
      </c>
      <c r="Q134" s="5" t="s">
        <v>33</v>
      </c>
      <c r="R134" s="2">
        <v>888983.73</v>
      </c>
      <c r="S134" s="2">
        <v>193115.73</v>
      </c>
      <c r="T134" s="1">
        <v>45961</v>
      </c>
      <c r="U134" s="5">
        <v>10</v>
      </c>
    </row>
    <row r="135" spans="1:21" x14ac:dyDescent="0.3">
      <c r="A135" s="5" t="s">
        <v>196</v>
      </c>
      <c r="B135" s="1">
        <v>45719</v>
      </c>
      <c r="C135" s="5" t="s">
        <v>18</v>
      </c>
      <c r="D135" s="5" t="s">
        <v>19</v>
      </c>
      <c r="E135" s="5" t="s">
        <v>20</v>
      </c>
      <c r="F135" s="5" t="s">
        <v>37</v>
      </c>
      <c r="G135" s="5" t="s">
        <v>22</v>
      </c>
      <c r="H135" s="5" t="s">
        <v>39</v>
      </c>
      <c r="I135" s="5">
        <v>410</v>
      </c>
      <c r="J135" s="5">
        <v>537</v>
      </c>
      <c r="K135" s="5">
        <v>682.53</v>
      </c>
      <c r="L135" s="5">
        <v>495</v>
      </c>
      <c r="M135" s="5">
        <v>265</v>
      </c>
      <c r="N135" s="5">
        <v>3</v>
      </c>
      <c r="O135" s="5" t="s">
        <v>32</v>
      </c>
      <c r="P135" s="5">
        <v>6073</v>
      </c>
      <c r="Q135" s="5" t="s">
        <v>25</v>
      </c>
      <c r="R135" s="2">
        <v>279837.3</v>
      </c>
      <c r="S135" s="2">
        <v>59667.3</v>
      </c>
      <c r="T135" s="1">
        <v>45719</v>
      </c>
      <c r="U135" s="5">
        <v>3</v>
      </c>
    </row>
    <row r="136" spans="1:21" x14ac:dyDescent="0.3">
      <c r="A136" s="5" t="s">
        <v>197</v>
      </c>
      <c r="B136" s="1">
        <v>45884</v>
      </c>
      <c r="C136" s="5" t="s">
        <v>42</v>
      </c>
      <c r="D136" s="5" t="s">
        <v>36</v>
      </c>
      <c r="E136" s="5" t="s">
        <v>54</v>
      </c>
      <c r="F136" s="5" t="s">
        <v>63</v>
      </c>
      <c r="G136" s="5" t="s">
        <v>31</v>
      </c>
      <c r="H136" s="5" t="s">
        <v>39</v>
      </c>
      <c r="I136" s="5">
        <v>128</v>
      </c>
      <c r="J136" s="5">
        <v>1217</v>
      </c>
      <c r="K136" s="5">
        <v>1654.06</v>
      </c>
      <c r="L136" s="5">
        <v>163</v>
      </c>
      <c r="M136" s="5">
        <v>178</v>
      </c>
      <c r="N136" s="5">
        <v>7</v>
      </c>
      <c r="O136" s="5" t="s">
        <v>24</v>
      </c>
      <c r="P136" s="5">
        <v>4156</v>
      </c>
      <c r="Q136" s="5" t="s">
        <v>46</v>
      </c>
      <c r="R136" s="2">
        <v>211719.67999999999</v>
      </c>
      <c r="S136" s="2">
        <v>55943.68</v>
      </c>
      <c r="T136" s="1">
        <v>45884</v>
      </c>
      <c r="U136" s="5">
        <v>8</v>
      </c>
    </row>
    <row r="137" spans="1:21" x14ac:dyDescent="0.3">
      <c r="A137" s="5" t="s">
        <v>198</v>
      </c>
      <c r="B137" s="1">
        <v>45761</v>
      </c>
      <c r="C137" s="5" t="s">
        <v>42</v>
      </c>
      <c r="D137" s="5" t="s">
        <v>19</v>
      </c>
      <c r="E137" s="5" t="s">
        <v>20</v>
      </c>
      <c r="F137" s="5" t="s">
        <v>100</v>
      </c>
      <c r="G137" s="5" t="s">
        <v>38</v>
      </c>
      <c r="H137" s="5" t="s">
        <v>39</v>
      </c>
      <c r="I137" s="5">
        <v>314</v>
      </c>
      <c r="J137" s="5">
        <v>2355</v>
      </c>
      <c r="K137" s="5">
        <v>3141.6</v>
      </c>
      <c r="L137" s="5">
        <v>1298</v>
      </c>
      <c r="M137" s="5">
        <v>106</v>
      </c>
      <c r="N137" s="5">
        <v>2</v>
      </c>
      <c r="O137" s="5" t="s">
        <v>32</v>
      </c>
      <c r="P137" s="5">
        <v>5350</v>
      </c>
      <c r="Q137" s="5" t="s">
        <v>33</v>
      </c>
      <c r="R137" s="2">
        <v>986462.4</v>
      </c>
      <c r="S137" s="2">
        <v>246992.4</v>
      </c>
      <c r="T137" s="1">
        <v>45761</v>
      </c>
      <c r="U137" s="5">
        <v>4</v>
      </c>
    </row>
    <row r="138" spans="1:21" x14ac:dyDescent="0.3">
      <c r="A138" s="5" t="s">
        <v>199</v>
      </c>
      <c r="B138" s="1">
        <v>45780</v>
      </c>
      <c r="C138" s="5" t="s">
        <v>42</v>
      </c>
      <c r="D138" s="5" t="s">
        <v>28</v>
      </c>
      <c r="E138" s="5" t="s">
        <v>54</v>
      </c>
      <c r="F138" s="5" t="s">
        <v>81</v>
      </c>
      <c r="G138" s="5" t="s">
        <v>56</v>
      </c>
      <c r="H138" s="5" t="s">
        <v>23</v>
      </c>
      <c r="I138" s="5">
        <v>426</v>
      </c>
      <c r="J138" s="5">
        <v>4695</v>
      </c>
      <c r="K138" s="5">
        <v>5585.16</v>
      </c>
      <c r="L138" s="5">
        <v>1383</v>
      </c>
      <c r="M138" s="5">
        <v>275</v>
      </c>
      <c r="N138" s="5">
        <v>9</v>
      </c>
      <c r="O138" s="5" t="s">
        <v>24</v>
      </c>
      <c r="P138" s="5">
        <v>4250</v>
      </c>
      <c r="Q138" s="5" t="s">
        <v>33</v>
      </c>
      <c r="R138" s="2">
        <v>2379278.16</v>
      </c>
      <c r="S138" s="2">
        <v>379208.16</v>
      </c>
      <c r="T138" s="1">
        <v>45780</v>
      </c>
      <c r="U138" s="5">
        <v>5</v>
      </c>
    </row>
    <row r="139" spans="1:21" x14ac:dyDescent="0.3">
      <c r="A139" s="5" t="s">
        <v>200</v>
      </c>
      <c r="B139" s="1">
        <v>45833</v>
      </c>
      <c r="C139" s="5" t="s">
        <v>27</v>
      </c>
      <c r="D139" s="5" t="s">
        <v>53</v>
      </c>
      <c r="E139" s="5" t="s">
        <v>49</v>
      </c>
      <c r="F139" s="5" t="s">
        <v>65</v>
      </c>
      <c r="G139" s="5" t="s">
        <v>31</v>
      </c>
      <c r="H139" s="5" t="s">
        <v>51</v>
      </c>
      <c r="I139" s="5">
        <v>362</v>
      </c>
      <c r="J139" s="5">
        <v>1244</v>
      </c>
      <c r="K139" s="5">
        <v>1797.42</v>
      </c>
      <c r="L139" s="5">
        <v>1009</v>
      </c>
      <c r="M139" s="5">
        <v>118</v>
      </c>
      <c r="N139" s="5">
        <v>4</v>
      </c>
      <c r="O139" s="5" t="s">
        <v>32</v>
      </c>
      <c r="P139" s="5">
        <v>3796</v>
      </c>
      <c r="Q139" s="5" t="s">
        <v>33</v>
      </c>
      <c r="R139" s="2">
        <v>650666.04</v>
      </c>
      <c r="S139" s="2">
        <v>200338.04</v>
      </c>
      <c r="T139" s="1">
        <v>45833</v>
      </c>
      <c r="U139" s="5">
        <v>6</v>
      </c>
    </row>
    <row r="140" spans="1:21" x14ac:dyDescent="0.3">
      <c r="A140" s="5" t="s">
        <v>201</v>
      </c>
      <c r="B140" s="1">
        <v>45833</v>
      </c>
      <c r="C140" s="5" t="s">
        <v>42</v>
      </c>
      <c r="D140" s="5" t="s">
        <v>19</v>
      </c>
      <c r="E140" s="5" t="s">
        <v>20</v>
      </c>
      <c r="F140" s="5" t="s">
        <v>100</v>
      </c>
      <c r="G140" s="5" t="s">
        <v>31</v>
      </c>
      <c r="H140" s="5" t="s">
        <v>23</v>
      </c>
      <c r="I140" s="5">
        <v>243</v>
      </c>
      <c r="J140" s="5">
        <v>1682</v>
      </c>
      <c r="K140" s="5">
        <v>2058.9499999999998</v>
      </c>
      <c r="L140" s="5">
        <v>763</v>
      </c>
      <c r="M140" s="5">
        <v>244</v>
      </c>
      <c r="N140" s="5">
        <v>4</v>
      </c>
      <c r="O140" s="5" t="s">
        <v>32</v>
      </c>
      <c r="P140" s="5">
        <v>4689</v>
      </c>
      <c r="Q140" s="5" t="s">
        <v>33</v>
      </c>
      <c r="R140" s="2">
        <v>500324.85</v>
      </c>
      <c r="S140" s="2">
        <v>91598.85</v>
      </c>
      <c r="T140" s="1">
        <v>45833</v>
      </c>
      <c r="U140" s="5">
        <v>6</v>
      </c>
    </row>
    <row r="141" spans="1:21" x14ac:dyDescent="0.3">
      <c r="A141" s="5" t="s">
        <v>202</v>
      </c>
      <c r="B141" s="1">
        <v>45861</v>
      </c>
      <c r="C141" s="5" t="s">
        <v>35</v>
      </c>
      <c r="D141" s="5" t="s">
        <v>53</v>
      </c>
      <c r="E141" s="5" t="s">
        <v>29</v>
      </c>
      <c r="F141" s="5" t="s">
        <v>73</v>
      </c>
      <c r="G141" s="5" t="s">
        <v>22</v>
      </c>
      <c r="H141" s="5" t="s">
        <v>39</v>
      </c>
      <c r="I141" s="5">
        <v>59</v>
      </c>
      <c r="J141" s="5">
        <v>1133</v>
      </c>
      <c r="K141" s="5">
        <v>1443.01</v>
      </c>
      <c r="L141" s="5">
        <v>711</v>
      </c>
      <c r="M141" s="5">
        <v>214</v>
      </c>
      <c r="N141" s="5">
        <v>9</v>
      </c>
      <c r="O141" s="5" t="s">
        <v>24</v>
      </c>
      <c r="P141" s="5">
        <v>5288</v>
      </c>
      <c r="Q141" s="5" t="s">
        <v>25</v>
      </c>
      <c r="R141" s="2">
        <v>85137.59</v>
      </c>
      <c r="S141" s="2">
        <v>18290.59</v>
      </c>
      <c r="T141" s="1">
        <v>45861</v>
      </c>
      <c r="U141" s="5">
        <v>7</v>
      </c>
    </row>
    <row r="142" spans="1:21" x14ac:dyDescent="0.3">
      <c r="A142" s="5" t="s">
        <v>203</v>
      </c>
      <c r="B142" s="1">
        <v>45695</v>
      </c>
      <c r="C142" s="5" t="s">
        <v>18</v>
      </c>
      <c r="D142" s="5" t="s">
        <v>53</v>
      </c>
      <c r="E142" s="5" t="s">
        <v>29</v>
      </c>
      <c r="F142" s="5" t="s">
        <v>73</v>
      </c>
      <c r="G142" s="5" t="s">
        <v>22</v>
      </c>
      <c r="H142" s="5" t="s">
        <v>23</v>
      </c>
      <c r="I142" s="5">
        <v>302</v>
      </c>
      <c r="J142" s="5">
        <v>4801</v>
      </c>
      <c r="K142" s="5">
        <v>5672.29</v>
      </c>
      <c r="L142" s="5">
        <v>842</v>
      </c>
      <c r="M142" s="5">
        <v>142</v>
      </c>
      <c r="N142" s="5">
        <v>9</v>
      </c>
      <c r="O142" s="5" t="s">
        <v>24</v>
      </c>
      <c r="P142" s="5">
        <v>7132</v>
      </c>
      <c r="Q142" s="5" t="s">
        <v>25</v>
      </c>
      <c r="R142" s="2">
        <v>1713031.58</v>
      </c>
      <c r="S142" s="2">
        <v>263129.58</v>
      </c>
      <c r="T142" s="1">
        <v>45695</v>
      </c>
      <c r="U142" s="5">
        <v>2</v>
      </c>
    </row>
    <row r="143" spans="1:21" x14ac:dyDescent="0.3">
      <c r="A143" s="5" t="s">
        <v>204</v>
      </c>
      <c r="B143" s="1">
        <v>45966</v>
      </c>
      <c r="C143" s="5" t="s">
        <v>27</v>
      </c>
      <c r="D143" s="5" t="s">
        <v>53</v>
      </c>
      <c r="E143" s="5" t="s">
        <v>29</v>
      </c>
      <c r="F143" s="5" t="s">
        <v>30</v>
      </c>
      <c r="G143" s="5" t="s">
        <v>38</v>
      </c>
      <c r="H143" s="5" t="s">
        <v>51</v>
      </c>
      <c r="I143" s="5">
        <v>95</v>
      </c>
      <c r="J143" s="5">
        <v>3463</v>
      </c>
      <c r="K143" s="5">
        <v>3995.15</v>
      </c>
      <c r="L143" s="5">
        <v>1930</v>
      </c>
      <c r="M143" s="5">
        <v>253</v>
      </c>
      <c r="N143" s="5">
        <v>7</v>
      </c>
      <c r="O143" s="5" t="s">
        <v>24</v>
      </c>
      <c r="P143" s="5">
        <v>2028</v>
      </c>
      <c r="Q143" s="5" t="s">
        <v>46</v>
      </c>
      <c r="R143" s="2">
        <v>379539.25</v>
      </c>
      <c r="S143" s="2">
        <v>50554.25</v>
      </c>
      <c r="T143" s="1">
        <v>45966</v>
      </c>
      <c r="U143" s="5">
        <v>11</v>
      </c>
    </row>
    <row r="144" spans="1:21" x14ac:dyDescent="0.3">
      <c r="A144" s="5" t="s">
        <v>205</v>
      </c>
      <c r="B144" s="1">
        <v>45827</v>
      </c>
      <c r="C144" s="5" t="s">
        <v>27</v>
      </c>
      <c r="D144" s="5" t="s">
        <v>28</v>
      </c>
      <c r="E144" s="5" t="s">
        <v>20</v>
      </c>
      <c r="F144" s="5" t="s">
        <v>60</v>
      </c>
      <c r="G144" s="5" t="s">
        <v>38</v>
      </c>
      <c r="H144" s="5" t="s">
        <v>23</v>
      </c>
      <c r="I144" s="5">
        <v>431</v>
      </c>
      <c r="J144" s="5">
        <v>2612</v>
      </c>
      <c r="K144" s="5">
        <v>3694.22</v>
      </c>
      <c r="L144" s="5">
        <v>301</v>
      </c>
      <c r="M144" s="5">
        <v>102</v>
      </c>
      <c r="N144" s="5">
        <v>9</v>
      </c>
      <c r="O144" s="5" t="s">
        <v>24</v>
      </c>
      <c r="P144" s="5">
        <v>5084</v>
      </c>
      <c r="Q144" s="5" t="s">
        <v>33</v>
      </c>
      <c r="R144" s="2">
        <v>1592208.82</v>
      </c>
      <c r="S144" s="2">
        <v>466436.82</v>
      </c>
      <c r="T144" s="1">
        <v>45827</v>
      </c>
      <c r="U144" s="5">
        <v>6</v>
      </c>
    </row>
    <row r="145" spans="1:21" x14ac:dyDescent="0.3">
      <c r="A145" s="5" t="s">
        <v>206</v>
      </c>
      <c r="B145" s="1">
        <v>45689</v>
      </c>
      <c r="C145" s="5" t="s">
        <v>18</v>
      </c>
      <c r="D145" s="5" t="s">
        <v>62</v>
      </c>
      <c r="E145" s="5" t="s">
        <v>29</v>
      </c>
      <c r="F145" s="5" t="s">
        <v>69</v>
      </c>
      <c r="G145" s="5" t="s">
        <v>38</v>
      </c>
      <c r="H145" s="5" t="s">
        <v>39</v>
      </c>
      <c r="I145" s="5">
        <v>466</v>
      </c>
      <c r="J145" s="5">
        <v>1356</v>
      </c>
      <c r="K145" s="5">
        <v>1946</v>
      </c>
      <c r="L145" s="5">
        <v>192</v>
      </c>
      <c r="M145" s="5">
        <v>229</v>
      </c>
      <c r="N145" s="5">
        <v>10</v>
      </c>
      <c r="O145" s="5" t="s">
        <v>24</v>
      </c>
      <c r="P145" s="5">
        <v>6690</v>
      </c>
      <c r="Q145" s="5" t="s">
        <v>46</v>
      </c>
      <c r="R145" s="2">
        <v>906836</v>
      </c>
      <c r="S145" s="2">
        <v>274940</v>
      </c>
      <c r="T145" s="1">
        <v>45689</v>
      </c>
      <c r="U145" s="5">
        <v>2</v>
      </c>
    </row>
    <row r="146" spans="1:21" x14ac:dyDescent="0.3">
      <c r="A146" s="5" t="s">
        <v>207</v>
      </c>
      <c r="B146" s="1">
        <v>45885</v>
      </c>
      <c r="C146" s="5" t="s">
        <v>18</v>
      </c>
      <c r="D146" s="5" t="s">
        <v>19</v>
      </c>
      <c r="E146" s="5" t="s">
        <v>49</v>
      </c>
      <c r="F146" s="5" t="s">
        <v>75</v>
      </c>
      <c r="G146" s="5" t="s">
        <v>22</v>
      </c>
      <c r="H146" s="5" t="s">
        <v>51</v>
      </c>
      <c r="I146" s="5">
        <v>465</v>
      </c>
      <c r="J146" s="5">
        <v>1053</v>
      </c>
      <c r="K146" s="5">
        <v>1229.94</v>
      </c>
      <c r="L146" s="5">
        <v>1692</v>
      </c>
      <c r="M146" s="5">
        <v>178</v>
      </c>
      <c r="N146" s="5">
        <v>1</v>
      </c>
      <c r="O146" s="5" t="s">
        <v>32</v>
      </c>
      <c r="P146" s="5">
        <v>1800</v>
      </c>
      <c r="Q146" s="5" t="s">
        <v>33</v>
      </c>
      <c r="R146" s="2">
        <v>571922.1</v>
      </c>
      <c r="S146" s="2">
        <v>82277.100000000006</v>
      </c>
      <c r="T146" s="1">
        <v>45885</v>
      </c>
      <c r="U146" s="5">
        <v>8</v>
      </c>
    </row>
    <row r="147" spans="1:21" x14ac:dyDescent="0.3">
      <c r="A147" s="5" t="s">
        <v>208</v>
      </c>
      <c r="B147" s="1">
        <v>45902</v>
      </c>
      <c r="C147" s="5" t="s">
        <v>18</v>
      </c>
      <c r="D147" s="5" t="s">
        <v>36</v>
      </c>
      <c r="E147" s="5" t="s">
        <v>54</v>
      </c>
      <c r="F147" s="5" t="s">
        <v>81</v>
      </c>
      <c r="G147" s="5" t="s">
        <v>22</v>
      </c>
      <c r="H147" s="5" t="s">
        <v>51</v>
      </c>
      <c r="I147" s="5">
        <v>57</v>
      </c>
      <c r="J147" s="5">
        <v>2172</v>
      </c>
      <c r="K147" s="5">
        <v>2991.36</v>
      </c>
      <c r="L147" s="5">
        <v>886</v>
      </c>
      <c r="M147" s="5">
        <v>114</v>
      </c>
      <c r="N147" s="5">
        <v>2</v>
      </c>
      <c r="O147" s="5" t="s">
        <v>24</v>
      </c>
      <c r="P147" s="5">
        <v>4978</v>
      </c>
      <c r="Q147" s="5" t="s">
        <v>33</v>
      </c>
      <c r="R147" s="2">
        <v>170507.51999999999</v>
      </c>
      <c r="S147" s="2">
        <v>46703.519999999997</v>
      </c>
      <c r="T147" s="1">
        <v>45902</v>
      </c>
      <c r="U147" s="5">
        <v>9</v>
      </c>
    </row>
    <row r="148" spans="1:21" x14ac:dyDescent="0.3">
      <c r="A148" s="5" t="s">
        <v>209</v>
      </c>
      <c r="B148" s="1">
        <v>45908</v>
      </c>
      <c r="C148" s="5" t="s">
        <v>42</v>
      </c>
      <c r="D148" s="5" t="s">
        <v>19</v>
      </c>
      <c r="E148" s="5" t="s">
        <v>29</v>
      </c>
      <c r="F148" s="5" t="s">
        <v>69</v>
      </c>
      <c r="G148" s="5" t="s">
        <v>56</v>
      </c>
      <c r="H148" s="5" t="s">
        <v>23</v>
      </c>
      <c r="I148" s="5">
        <v>485</v>
      </c>
      <c r="J148" s="5">
        <v>3209</v>
      </c>
      <c r="K148" s="5">
        <v>4071.28</v>
      </c>
      <c r="L148" s="5">
        <v>810</v>
      </c>
      <c r="M148" s="5">
        <v>123</v>
      </c>
      <c r="N148" s="5">
        <v>1</v>
      </c>
      <c r="O148" s="5" t="s">
        <v>32</v>
      </c>
      <c r="P148" s="5">
        <v>6583</v>
      </c>
      <c r="Q148" s="5" t="s">
        <v>25</v>
      </c>
      <c r="R148" s="2">
        <v>1974570.8</v>
      </c>
      <c r="S148" s="2">
        <v>418205.8</v>
      </c>
      <c r="T148" s="1">
        <v>45908</v>
      </c>
      <c r="U148" s="5">
        <v>9</v>
      </c>
    </row>
    <row r="149" spans="1:21" x14ac:dyDescent="0.3">
      <c r="A149" s="5" t="s">
        <v>210</v>
      </c>
      <c r="B149" s="1">
        <v>45715</v>
      </c>
      <c r="C149" s="5" t="s">
        <v>18</v>
      </c>
      <c r="D149" s="5" t="s">
        <v>28</v>
      </c>
      <c r="E149" s="5" t="s">
        <v>54</v>
      </c>
      <c r="F149" s="5" t="s">
        <v>63</v>
      </c>
      <c r="G149" s="5" t="s">
        <v>31</v>
      </c>
      <c r="H149" s="5" t="s">
        <v>23</v>
      </c>
      <c r="I149" s="5">
        <v>443</v>
      </c>
      <c r="J149" s="5">
        <v>3094</v>
      </c>
      <c r="K149" s="5">
        <v>3886.51</v>
      </c>
      <c r="L149" s="5">
        <v>1104</v>
      </c>
      <c r="M149" s="5">
        <v>120</v>
      </c>
      <c r="N149" s="5">
        <v>8</v>
      </c>
      <c r="O149" s="5" t="s">
        <v>24</v>
      </c>
      <c r="P149" s="5">
        <v>3667</v>
      </c>
      <c r="Q149" s="5" t="s">
        <v>40</v>
      </c>
      <c r="R149" s="2">
        <v>1721723.93</v>
      </c>
      <c r="S149" s="2">
        <v>351081.93</v>
      </c>
      <c r="T149" s="1">
        <v>45715</v>
      </c>
      <c r="U149" s="5">
        <v>2</v>
      </c>
    </row>
    <row r="150" spans="1:21" x14ac:dyDescent="0.3">
      <c r="A150" s="5" t="s">
        <v>211</v>
      </c>
      <c r="B150" s="1">
        <v>45882</v>
      </c>
      <c r="C150" s="5" t="s">
        <v>27</v>
      </c>
      <c r="D150" s="5" t="s">
        <v>62</v>
      </c>
      <c r="E150" s="5" t="s">
        <v>20</v>
      </c>
      <c r="F150" s="5" t="s">
        <v>60</v>
      </c>
      <c r="G150" s="5" t="s">
        <v>56</v>
      </c>
      <c r="H150" s="5" t="s">
        <v>51</v>
      </c>
      <c r="I150" s="5">
        <v>250</v>
      </c>
      <c r="J150" s="5">
        <v>4857</v>
      </c>
      <c r="K150" s="5">
        <v>6627.09</v>
      </c>
      <c r="L150" s="5">
        <v>1776</v>
      </c>
      <c r="M150" s="5">
        <v>152</v>
      </c>
      <c r="N150" s="5">
        <v>9</v>
      </c>
      <c r="O150" s="5" t="s">
        <v>24</v>
      </c>
      <c r="P150" s="5">
        <v>4203</v>
      </c>
      <c r="Q150" s="5" t="s">
        <v>33</v>
      </c>
      <c r="R150" s="2">
        <v>1656772.5</v>
      </c>
      <c r="S150" s="2">
        <v>442522.5</v>
      </c>
      <c r="T150" s="1">
        <v>45882</v>
      </c>
      <c r="U150" s="5">
        <v>8</v>
      </c>
    </row>
    <row r="151" spans="1:21" x14ac:dyDescent="0.3">
      <c r="A151" s="5" t="s">
        <v>212</v>
      </c>
      <c r="B151" s="1">
        <v>45927</v>
      </c>
      <c r="C151" s="5" t="s">
        <v>35</v>
      </c>
      <c r="D151" s="5" t="s">
        <v>28</v>
      </c>
      <c r="E151" s="5" t="s">
        <v>29</v>
      </c>
      <c r="F151" s="5" t="s">
        <v>73</v>
      </c>
      <c r="G151" s="5" t="s">
        <v>56</v>
      </c>
      <c r="H151" s="5" t="s">
        <v>51</v>
      </c>
      <c r="I151" s="5">
        <v>321</v>
      </c>
      <c r="J151" s="5">
        <v>716</v>
      </c>
      <c r="K151" s="5">
        <v>824.4</v>
      </c>
      <c r="L151" s="5">
        <v>791</v>
      </c>
      <c r="M151" s="5">
        <v>265</v>
      </c>
      <c r="N151" s="5">
        <v>7</v>
      </c>
      <c r="O151" s="5" t="s">
        <v>24</v>
      </c>
      <c r="P151" s="5">
        <v>1963</v>
      </c>
      <c r="Q151" s="5" t="s">
        <v>33</v>
      </c>
      <c r="R151" s="2">
        <v>264632.40000000002</v>
      </c>
      <c r="S151" s="2">
        <v>34796.400000000001</v>
      </c>
      <c r="T151" s="1">
        <v>45927</v>
      </c>
      <c r="U151" s="5">
        <v>9</v>
      </c>
    </row>
    <row r="152" spans="1:21" x14ac:dyDescent="0.3">
      <c r="A152" s="5" t="s">
        <v>213</v>
      </c>
      <c r="B152" s="1">
        <v>45760</v>
      </c>
      <c r="C152" s="5" t="s">
        <v>27</v>
      </c>
      <c r="D152" s="5" t="s">
        <v>62</v>
      </c>
      <c r="E152" s="5" t="s">
        <v>29</v>
      </c>
      <c r="F152" s="5" t="s">
        <v>69</v>
      </c>
      <c r="G152" s="5" t="s">
        <v>38</v>
      </c>
      <c r="H152" s="5" t="s">
        <v>39</v>
      </c>
      <c r="I152" s="5">
        <v>295</v>
      </c>
      <c r="J152" s="5">
        <v>4378</v>
      </c>
      <c r="K152" s="5">
        <v>5103.54</v>
      </c>
      <c r="L152" s="5">
        <v>567</v>
      </c>
      <c r="M152" s="5">
        <v>225</v>
      </c>
      <c r="N152" s="5">
        <v>7</v>
      </c>
      <c r="O152" s="5" t="s">
        <v>24</v>
      </c>
      <c r="P152" s="5">
        <v>2911</v>
      </c>
      <c r="Q152" s="5" t="s">
        <v>33</v>
      </c>
      <c r="R152" s="2">
        <v>1505544.3</v>
      </c>
      <c r="S152" s="2">
        <v>214034.3</v>
      </c>
      <c r="T152" s="1">
        <v>45760</v>
      </c>
      <c r="U152" s="5">
        <v>4</v>
      </c>
    </row>
    <row r="153" spans="1:21" x14ac:dyDescent="0.3">
      <c r="A153" s="5" t="s">
        <v>214</v>
      </c>
      <c r="B153" s="1">
        <v>45802</v>
      </c>
      <c r="C153" s="5" t="s">
        <v>18</v>
      </c>
      <c r="D153" s="5" t="s">
        <v>19</v>
      </c>
      <c r="E153" s="5" t="s">
        <v>54</v>
      </c>
      <c r="F153" s="5" t="s">
        <v>78</v>
      </c>
      <c r="G153" s="5" t="s">
        <v>56</v>
      </c>
      <c r="H153" s="5" t="s">
        <v>39</v>
      </c>
      <c r="I153" s="5">
        <v>153</v>
      </c>
      <c r="J153" s="5">
        <v>3749</v>
      </c>
      <c r="K153" s="5">
        <v>4695.8100000000004</v>
      </c>
      <c r="L153" s="5">
        <v>833</v>
      </c>
      <c r="M153" s="5">
        <v>235</v>
      </c>
      <c r="N153" s="5">
        <v>1</v>
      </c>
      <c r="O153" s="5" t="s">
        <v>24</v>
      </c>
      <c r="P153" s="5">
        <v>5070</v>
      </c>
      <c r="Q153" s="5" t="s">
        <v>40</v>
      </c>
      <c r="R153" s="2">
        <v>718458.93</v>
      </c>
      <c r="S153" s="2">
        <v>144861.93</v>
      </c>
      <c r="T153" s="1">
        <v>45802</v>
      </c>
      <c r="U153" s="5">
        <v>5</v>
      </c>
    </row>
    <row r="154" spans="1:21" x14ac:dyDescent="0.3">
      <c r="A154" s="5" t="s">
        <v>215</v>
      </c>
      <c r="B154" s="1">
        <v>45726</v>
      </c>
      <c r="C154" s="5" t="s">
        <v>18</v>
      </c>
      <c r="D154" s="5" t="s">
        <v>28</v>
      </c>
      <c r="E154" s="5" t="s">
        <v>20</v>
      </c>
      <c r="F154" s="5" t="s">
        <v>100</v>
      </c>
      <c r="G154" s="5" t="s">
        <v>38</v>
      </c>
      <c r="H154" s="5" t="s">
        <v>51</v>
      </c>
      <c r="I154" s="5">
        <v>302</v>
      </c>
      <c r="J154" s="5">
        <v>4735</v>
      </c>
      <c r="K154" s="5">
        <v>5749.36</v>
      </c>
      <c r="L154" s="5">
        <v>902</v>
      </c>
      <c r="M154" s="5">
        <v>166</v>
      </c>
      <c r="N154" s="5">
        <v>7</v>
      </c>
      <c r="O154" s="5" t="s">
        <v>24</v>
      </c>
      <c r="P154" s="5">
        <v>1272</v>
      </c>
      <c r="Q154" s="5" t="s">
        <v>25</v>
      </c>
      <c r="R154" s="2">
        <v>1736306.72</v>
      </c>
      <c r="S154" s="2">
        <v>306336.71999999997</v>
      </c>
      <c r="T154" s="1">
        <v>45726</v>
      </c>
      <c r="U154" s="5">
        <v>3</v>
      </c>
    </row>
    <row r="155" spans="1:21" x14ac:dyDescent="0.3">
      <c r="A155" s="5" t="s">
        <v>216</v>
      </c>
      <c r="B155" s="1">
        <v>45662</v>
      </c>
      <c r="C155" s="5" t="s">
        <v>27</v>
      </c>
      <c r="D155" s="5" t="s">
        <v>62</v>
      </c>
      <c r="E155" s="5" t="s">
        <v>54</v>
      </c>
      <c r="F155" s="5" t="s">
        <v>81</v>
      </c>
      <c r="G155" s="5" t="s">
        <v>31</v>
      </c>
      <c r="H155" s="5" t="s">
        <v>23</v>
      </c>
      <c r="I155" s="5">
        <v>351</v>
      </c>
      <c r="J155" s="5">
        <v>3131</v>
      </c>
      <c r="K155" s="5">
        <v>3933.51</v>
      </c>
      <c r="L155" s="5">
        <v>1414</v>
      </c>
      <c r="M155" s="5">
        <v>219</v>
      </c>
      <c r="N155" s="5">
        <v>10</v>
      </c>
      <c r="O155" s="5" t="s">
        <v>24</v>
      </c>
      <c r="P155" s="5">
        <v>2971</v>
      </c>
      <c r="Q155" s="5" t="s">
        <v>40</v>
      </c>
      <c r="R155" s="2">
        <v>1380662.01</v>
      </c>
      <c r="S155" s="2">
        <v>281681.01</v>
      </c>
      <c r="T155" s="1">
        <v>45662</v>
      </c>
      <c r="U155" s="5">
        <v>1</v>
      </c>
    </row>
    <row r="156" spans="1:21" x14ac:dyDescent="0.3">
      <c r="A156" s="5" t="s">
        <v>217</v>
      </c>
      <c r="B156" s="1">
        <v>45714</v>
      </c>
      <c r="C156" s="5" t="s">
        <v>42</v>
      </c>
      <c r="D156" s="5" t="s">
        <v>28</v>
      </c>
      <c r="E156" s="5" t="s">
        <v>20</v>
      </c>
      <c r="F156" s="5" t="s">
        <v>37</v>
      </c>
      <c r="G156" s="5" t="s">
        <v>56</v>
      </c>
      <c r="H156" s="5" t="s">
        <v>51</v>
      </c>
      <c r="I156" s="5">
        <v>244</v>
      </c>
      <c r="J156" s="5">
        <v>1378</v>
      </c>
      <c r="K156" s="5">
        <v>1779.82</v>
      </c>
      <c r="L156" s="5">
        <v>1550</v>
      </c>
      <c r="M156" s="5">
        <v>264</v>
      </c>
      <c r="N156" s="5">
        <v>2</v>
      </c>
      <c r="O156" s="5" t="s">
        <v>32</v>
      </c>
      <c r="P156" s="5">
        <v>7583</v>
      </c>
      <c r="Q156" s="5" t="s">
        <v>33</v>
      </c>
      <c r="R156" s="2">
        <v>434276.08</v>
      </c>
      <c r="S156" s="2">
        <v>98044.08</v>
      </c>
      <c r="T156" s="1">
        <v>45714</v>
      </c>
      <c r="U156" s="5">
        <v>2</v>
      </c>
    </row>
    <row r="157" spans="1:21" x14ac:dyDescent="0.3">
      <c r="A157" s="5" t="s">
        <v>218</v>
      </c>
      <c r="B157" s="1">
        <v>45773</v>
      </c>
      <c r="C157" s="5" t="s">
        <v>27</v>
      </c>
      <c r="D157" s="5" t="s">
        <v>62</v>
      </c>
      <c r="E157" s="5" t="s">
        <v>20</v>
      </c>
      <c r="F157" s="5" t="s">
        <v>37</v>
      </c>
      <c r="G157" s="5" t="s">
        <v>31</v>
      </c>
      <c r="H157" s="5" t="s">
        <v>51</v>
      </c>
      <c r="I157" s="5">
        <v>393</v>
      </c>
      <c r="J157" s="5">
        <v>3712</v>
      </c>
      <c r="K157" s="5">
        <v>5462.75</v>
      </c>
      <c r="L157" s="5">
        <v>1406</v>
      </c>
      <c r="M157" s="5">
        <v>217</v>
      </c>
      <c r="N157" s="5">
        <v>4</v>
      </c>
      <c r="O157" s="5" t="s">
        <v>32</v>
      </c>
      <c r="P157" s="5">
        <v>2294</v>
      </c>
      <c r="Q157" s="5" t="s">
        <v>33</v>
      </c>
      <c r="R157" s="2">
        <v>2146860.75</v>
      </c>
      <c r="S157" s="2">
        <v>688044.75</v>
      </c>
      <c r="T157" s="1">
        <v>45773</v>
      </c>
      <c r="U157" s="5">
        <v>4</v>
      </c>
    </row>
    <row r="158" spans="1:21" x14ac:dyDescent="0.3">
      <c r="A158" s="5" t="s">
        <v>219</v>
      </c>
      <c r="B158" s="1">
        <v>45815</v>
      </c>
      <c r="C158" s="5" t="s">
        <v>35</v>
      </c>
      <c r="D158" s="5" t="s">
        <v>19</v>
      </c>
      <c r="E158" s="5" t="s">
        <v>49</v>
      </c>
      <c r="F158" s="5" t="s">
        <v>50</v>
      </c>
      <c r="G158" s="5" t="s">
        <v>22</v>
      </c>
      <c r="H158" s="5" t="s">
        <v>23</v>
      </c>
      <c r="I158" s="5">
        <v>328</v>
      </c>
      <c r="J158" s="5">
        <v>210</v>
      </c>
      <c r="K158" s="5">
        <v>305.69</v>
      </c>
      <c r="L158" s="5">
        <v>645</v>
      </c>
      <c r="M158" s="5">
        <v>208</v>
      </c>
      <c r="N158" s="5">
        <v>1</v>
      </c>
      <c r="O158" s="5" t="s">
        <v>32</v>
      </c>
      <c r="P158" s="5">
        <v>4354</v>
      </c>
      <c r="Q158" s="5" t="s">
        <v>33</v>
      </c>
      <c r="R158" s="2">
        <v>100266.32</v>
      </c>
      <c r="S158" s="2">
        <v>31386.32</v>
      </c>
      <c r="T158" s="1">
        <v>45815</v>
      </c>
      <c r="U158" s="5">
        <v>6</v>
      </c>
    </row>
    <row r="159" spans="1:21" x14ac:dyDescent="0.3">
      <c r="A159" s="5" t="s">
        <v>220</v>
      </c>
      <c r="B159" s="1">
        <v>45881</v>
      </c>
      <c r="C159" s="5" t="s">
        <v>42</v>
      </c>
      <c r="D159" s="5" t="s">
        <v>28</v>
      </c>
      <c r="E159" s="5" t="s">
        <v>29</v>
      </c>
      <c r="F159" s="5" t="s">
        <v>69</v>
      </c>
      <c r="G159" s="5" t="s">
        <v>22</v>
      </c>
      <c r="H159" s="5" t="s">
        <v>39</v>
      </c>
      <c r="I159" s="5">
        <v>67</v>
      </c>
      <c r="J159" s="5">
        <v>224</v>
      </c>
      <c r="K159" s="5">
        <v>330.11</v>
      </c>
      <c r="L159" s="5">
        <v>1669</v>
      </c>
      <c r="M159" s="5">
        <v>244</v>
      </c>
      <c r="N159" s="5">
        <v>5</v>
      </c>
      <c r="O159" s="5" t="s">
        <v>32</v>
      </c>
      <c r="P159" s="5">
        <v>4812</v>
      </c>
      <c r="Q159" s="5" t="s">
        <v>33</v>
      </c>
      <c r="R159" s="2">
        <v>22117.37</v>
      </c>
      <c r="S159" s="2">
        <v>7109.37</v>
      </c>
      <c r="T159" s="1">
        <v>45881</v>
      </c>
      <c r="U159" s="5">
        <v>8</v>
      </c>
    </row>
    <row r="160" spans="1:21" x14ac:dyDescent="0.3">
      <c r="A160" s="5" t="s">
        <v>221</v>
      </c>
      <c r="B160" s="1">
        <v>45965</v>
      </c>
      <c r="C160" s="5" t="s">
        <v>27</v>
      </c>
      <c r="D160" s="5" t="s">
        <v>28</v>
      </c>
      <c r="E160" s="5" t="s">
        <v>20</v>
      </c>
      <c r="F160" s="5" t="s">
        <v>45</v>
      </c>
      <c r="G160" s="5" t="s">
        <v>31</v>
      </c>
      <c r="H160" s="5" t="s">
        <v>23</v>
      </c>
      <c r="I160" s="5">
        <v>351</v>
      </c>
      <c r="J160" s="5">
        <v>4037</v>
      </c>
      <c r="K160" s="5">
        <v>4879.91</v>
      </c>
      <c r="L160" s="5">
        <v>1009</v>
      </c>
      <c r="M160" s="5">
        <v>279</v>
      </c>
      <c r="N160" s="5">
        <v>5</v>
      </c>
      <c r="O160" s="5" t="s">
        <v>32</v>
      </c>
      <c r="P160" s="5">
        <v>6128</v>
      </c>
      <c r="Q160" s="5" t="s">
        <v>33</v>
      </c>
      <c r="R160" s="2">
        <v>1712848.41</v>
      </c>
      <c r="S160" s="2">
        <v>295861.40999999997</v>
      </c>
      <c r="T160" s="1">
        <v>45965</v>
      </c>
      <c r="U160" s="5">
        <v>11</v>
      </c>
    </row>
    <row r="161" spans="1:21" x14ac:dyDescent="0.3">
      <c r="A161" s="5" t="s">
        <v>222</v>
      </c>
      <c r="B161" s="1">
        <v>45774</v>
      </c>
      <c r="C161" s="5" t="s">
        <v>27</v>
      </c>
      <c r="D161" s="5" t="s">
        <v>19</v>
      </c>
      <c r="E161" s="5" t="s">
        <v>54</v>
      </c>
      <c r="F161" s="5" t="s">
        <v>78</v>
      </c>
      <c r="G161" s="5" t="s">
        <v>22</v>
      </c>
      <c r="H161" s="5" t="s">
        <v>39</v>
      </c>
      <c r="I161" s="5">
        <v>475</v>
      </c>
      <c r="J161" s="5">
        <v>3107</v>
      </c>
      <c r="K161" s="5">
        <v>4280.97</v>
      </c>
      <c r="L161" s="5">
        <v>1982</v>
      </c>
      <c r="M161" s="5">
        <v>81</v>
      </c>
      <c r="N161" s="5">
        <v>10</v>
      </c>
      <c r="O161" s="5" t="s">
        <v>24</v>
      </c>
      <c r="P161" s="5">
        <v>5841</v>
      </c>
      <c r="Q161" s="5" t="s">
        <v>40</v>
      </c>
      <c r="R161" s="2">
        <v>2033460.75</v>
      </c>
      <c r="S161" s="2">
        <v>557635.75</v>
      </c>
      <c r="T161" s="1">
        <v>45774</v>
      </c>
      <c r="U161" s="5">
        <v>4</v>
      </c>
    </row>
    <row r="162" spans="1:21" x14ac:dyDescent="0.3">
      <c r="A162" s="5" t="s">
        <v>223</v>
      </c>
      <c r="B162" s="1">
        <v>45694</v>
      </c>
      <c r="C162" s="5" t="s">
        <v>35</v>
      </c>
      <c r="D162" s="5" t="s">
        <v>36</v>
      </c>
      <c r="E162" s="5" t="s">
        <v>29</v>
      </c>
      <c r="F162" s="5" t="s">
        <v>73</v>
      </c>
      <c r="G162" s="5" t="s">
        <v>31</v>
      </c>
      <c r="H162" s="5" t="s">
        <v>39</v>
      </c>
      <c r="I162" s="5">
        <v>271</v>
      </c>
      <c r="J162" s="5">
        <v>2464</v>
      </c>
      <c r="K162" s="5">
        <v>3661.04</v>
      </c>
      <c r="L162" s="5">
        <v>523</v>
      </c>
      <c r="M162" s="5">
        <v>100</v>
      </c>
      <c r="N162" s="5">
        <v>6</v>
      </c>
      <c r="O162" s="5" t="s">
        <v>24</v>
      </c>
      <c r="P162" s="5">
        <v>4942</v>
      </c>
      <c r="Q162" s="5" t="s">
        <v>33</v>
      </c>
      <c r="R162" s="2">
        <v>992141.84</v>
      </c>
      <c r="S162" s="2">
        <v>324397.84000000003</v>
      </c>
      <c r="T162" s="1">
        <v>45694</v>
      </c>
      <c r="U162" s="5">
        <v>2</v>
      </c>
    </row>
    <row r="163" spans="1:21" x14ac:dyDescent="0.3">
      <c r="A163" s="5" t="s">
        <v>224</v>
      </c>
      <c r="B163" s="1">
        <v>45937</v>
      </c>
      <c r="C163" s="5" t="s">
        <v>35</v>
      </c>
      <c r="D163" s="5" t="s">
        <v>28</v>
      </c>
      <c r="E163" s="5" t="s">
        <v>49</v>
      </c>
      <c r="F163" s="5" t="s">
        <v>75</v>
      </c>
      <c r="G163" s="5" t="s">
        <v>38</v>
      </c>
      <c r="H163" s="5" t="s">
        <v>39</v>
      </c>
      <c r="I163" s="5">
        <v>303</v>
      </c>
      <c r="J163" s="5">
        <v>3728</v>
      </c>
      <c r="K163" s="5">
        <v>5043.9399999999996</v>
      </c>
      <c r="L163" s="5">
        <v>1035</v>
      </c>
      <c r="M163" s="5">
        <v>109</v>
      </c>
      <c r="N163" s="5">
        <v>2</v>
      </c>
      <c r="O163" s="5" t="s">
        <v>32</v>
      </c>
      <c r="P163" s="5">
        <v>7067</v>
      </c>
      <c r="Q163" s="5" t="s">
        <v>33</v>
      </c>
      <c r="R163" s="2">
        <v>1528313.82</v>
      </c>
      <c r="S163" s="2">
        <v>398729.82</v>
      </c>
      <c r="T163" s="1">
        <v>45937</v>
      </c>
      <c r="U163" s="5">
        <v>10</v>
      </c>
    </row>
    <row r="164" spans="1:21" x14ac:dyDescent="0.3">
      <c r="A164" s="5" t="s">
        <v>225</v>
      </c>
      <c r="B164" s="1">
        <v>45696</v>
      </c>
      <c r="C164" s="5" t="s">
        <v>42</v>
      </c>
      <c r="D164" s="5" t="s">
        <v>28</v>
      </c>
      <c r="E164" s="5" t="s">
        <v>20</v>
      </c>
      <c r="F164" s="5" t="s">
        <v>21</v>
      </c>
      <c r="G164" s="5" t="s">
        <v>22</v>
      </c>
      <c r="H164" s="5" t="s">
        <v>39</v>
      </c>
      <c r="I164" s="5">
        <v>375</v>
      </c>
      <c r="J164" s="5">
        <v>168</v>
      </c>
      <c r="K164" s="5">
        <v>202.67</v>
      </c>
      <c r="L164" s="5">
        <v>744</v>
      </c>
      <c r="M164" s="5">
        <v>228</v>
      </c>
      <c r="N164" s="5">
        <v>8</v>
      </c>
      <c r="O164" s="5" t="s">
        <v>24</v>
      </c>
      <c r="P164" s="5">
        <v>7982</v>
      </c>
      <c r="Q164" s="5" t="s">
        <v>46</v>
      </c>
      <c r="R164" s="2">
        <v>76001.25</v>
      </c>
      <c r="S164" s="2">
        <v>13001.25</v>
      </c>
      <c r="T164" s="1">
        <v>45696</v>
      </c>
      <c r="U164" s="5">
        <v>2</v>
      </c>
    </row>
    <row r="165" spans="1:21" x14ac:dyDescent="0.3">
      <c r="A165" s="5" t="s">
        <v>226</v>
      </c>
      <c r="B165" s="1">
        <v>45817</v>
      </c>
      <c r="C165" s="5" t="s">
        <v>35</v>
      </c>
      <c r="D165" s="5" t="s">
        <v>62</v>
      </c>
      <c r="E165" s="5" t="s">
        <v>49</v>
      </c>
      <c r="F165" s="5" t="s">
        <v>89</v>
      </c>
      <c r="G165" s="5" t="s">
        <v>31</v>
      </c>
      <c r="H165" s="5" t="s">
        <v>39</v>
      </c>
      <c r="I165" s="5">
        <v>408</v>
      </c>
      <c r="J165" s="5">
        <v>2121</v>
      </c>
      <c r="K165" s="5">
        <v>2995.13</v>
      </c>
      <c r="L165" s="5">
        <v>1118</v>
      </c>
      <c r="M165" s="5">
        <v>224</v>
      </c>
      <c r="N165" s="5">
        <v>5</v>
      </c>
      <c r="O165" s="5" t="s">
        <v>32</v>
      </c>
      <c r="P165" s="5">
        <v>2862</v>
      </c>
      <c r="Q165" s="5" t="s">
        <v>33</v>
      </c>
      <c r="R165" s="2">
        <v>1222013.04</v>
      </c>
      <c r="S165" s="2">
        <v>356645.04</v>
      </c>
      <c r="T165" s="1">
        <v>45817</v>
      </c>
      <c r="U165" s="5">
        <v>6</v>
      </c>
    </row>
    <row r="166" spans="1:21" x14ac:dyDescent="0.3">
      <c r="A166" s="5" t="s">
        <v>227</v>
      </c>
      <c r="B166" s="1">
        <v>45794</v>
      </c>
      <c r="C166" s="5" t="s">
        <v>18</v>
      </c>
      <c r="D166" s="5" t="s">
        <v>36</v>
      </c>
      <c r="E166" s="5" t="s">
        <v>54</v>
      </c>
      <c r="F166" s="5" t="s">
        <v>87</v>
      </c>
      <c r="G166" s="5" t="s">
        <v>38</v>
      </c>
      <c r="H166" s="5" t="s">
        <v>23</v>
      </c>
      <c r="I166" s="5">
        <v>496</v>
      </c>
      <c r="J166" s="5">
        <v>4082</v>
      </c>
      <c r="K166" s="5">
        <v>4983.99</v>
      </c>
      <c r="L166" s="5">
        <v>86</v>
      </c>
      <c r="M166" s="5">
        <v>103</v>
      </c>
      <c r="N166" s="5">
        <v>6</v>
      </c>
      <c r="O166" s="5" t="s">
        <v>24</v>
      </c>
      <c r="P166" s="5">
        <v>4916</v>
      </c>
      <c r="Q166" s="5" t="s">
        <v>40</v>
      </c>
      <c r="R166" s="2">
        <v>2472059.04</v>
      </c>
      <c r="S166" s="2">
        <v>447387.04</v>
      </c>
      <c r="T166" s="1">
        <v>45794</v>
      </c>
      <c r="U166" s="5">
        <v>5</v>
      </c>
    </row>
    <row r="167" spans="1:21" x14ac:dyDescent="0.3">
      <c r="A167" s="5" t="s">
        <v>228</v>
      </c>
      <c r="B167" s="1">
        <v>46015</v>
      </c>
      <c r="C167" s="5" t="s">
        <v>18</v>
      </c>
      <c r="D167" s="5" t="s">
        <v>28</v>
      </c>
      <c r="E167" s="5" t="s">
        <v>29</v>
      </c>
      <c r="F167" s="5" t="s">
        <v>69</v>
      </c>
      <c r="G167" s="5" t="s">
        <v>56</v>
      </c>
      <c r="H167" s="5" t="s">
        <v>39</v>
      </c>
      <c r="I167" s="5">
        <v>187</v>
      </c>
      <c r="J167" s="5">
        <v>2389</v>
      </c>
      <c r="K167" s="5">
        <v>2761.41</v>
      </c>
      <c r="L167" s="5">
        <v>870</v>
      </c>
      <c r="M167" s="5">
        <v>228</v>
      </c>
      <c r="N167" s="5">
        <v>6</v>
      </c>
      <c r="O167" s="5" t="s">
        <v>24</v>
      </c>
      <c r="P167" s="5">
        <v>2921</v>
      </c>
      <c r="Q167" s="5" t="s">
        <v>33</v>
      </c>
      <c r="R167" s="2">
        <v>516383.67</v>
      </c>
      <c r="S167" s="2">
        <v>69640.67</v>
      </c>
      <c r="T167" s="1">
        <v>46015</v>
      </c>
      <c r="U167" s="5">
        <v>12</v>
      </c>
    </row>
    <row r="168" spans="1:21" x14ac:dyDescent="0.3">
      <c r="A168" s="5" t="s">
        <v>229</v>
      </c>
      <c r="B168" s="1">
        <v>45681</v>
      </c>
      <c r="C168" s="5" t="s">
        <v>35</v>
      </c>
      <c r="D168" s="5" t="s">
        <v>62</v>
      </c>
      <c r="E168" s="5" t="s">
        <v>20</v>
      </c>
      <c r="F168" s="5" t="s">
        <v>100</v>
      </c>
      <c r="G168" s="5" t="s">
        <v>38</v>
      </c>
      <c r="H168" s="5" t="s">
        <v>51</v>
      </c>
      <c r="I168" s="5">
        <v>366</v>
      </c>
      <c r="J168" s="5">
        <v>121</v>
      </c>
      <c r="K168" s="5">
        <v>150.77000000000001</v>
      </c>
      <c r="L168" s="5">
        <v>1262</v>
      </c>
      <c r="M168" s="5">
        <v>87</v>
      </c>
      <c r="N168" s="5">
        <v>9</v>
      </c>
      <c r="O168" s="5" t="s">
        <v>24</v>
      </c>
      <c r="P168" s="5">
        <v>4550</v>
      </c>
      <c r="Q168" s="5" t="s">
        <v>40</v>
      </c>
      <c r="R168" s="2">
        <v>55181.82</v>
      </c>
      <c r="S168" s="2">
        <v>10895.82</v>
      </c>
      <c r="T168" s="1">
        <v>45681</v>
      </c>
      <c r="U168" s="5">
        <v>1</v>
      </c>
    </row>
    <row r="169" spans="1:21" x14ac:dyDescent="0.3">
      <c r="A169" s="5" t="s">
        <v>230</v>
      </c>
      <c r="B169" s="1">
        <v>45790</v>
      </c>
      <c r="C169" s="5" t="s">
        <v>27</v>
      </c>
      <c r="D169" s="5" t="s">
        <v>28</v>
      </c>
      <c r="E169" s="5" t="s">
        <v>49</v>
      </c>
      <c r="F169" s="5" t="s">
        <v>75</v>
      </c>
      <c r="G169" s="5" t="s">
        <v>31</v>
      </c>
      <c r="H169" s="5" t="s">
        <v>23</v>
      </c>
      <c r="I169" s="5">
        <v>163</v>
      </c>
      <c r="J169" s="5">
        <v>1522</v>
      </c>
      <c r="K169" s="5">
        <v>1845.28</v>
      </c>
      <c r="L169" s="5">
        <v>788</v>
      </c>
      <c r="M169" s="5">
        <v>119</v>
      </c>
      <c r="N169" s="5">
        <v>6</v>
      </c>
      <c r="O169" s="5" t="s">
        <v>24</v>
      </c>
      <c r="P169" s="5">
        <v>4713</v>
      </c>
      <c r="Q169" s="5" t="s">
        <v>33</v>
      </c>
      <c r="R169" s="2">
        <v>300780.64</v>
      </c>
      <c r="S169" s="2">
        <v>52694.64</v>
      </c>
      <c r="T169" s="1">
        <v>45790</v>
      </c>
      <c r="U169" s="5">
        <v>5</v>
      </c>
    </row>
    <row r="170" spans="1:21" x14ac:dyDescent="0.3">
      <c r="A170" s="5" t="s">
        <v>231</v>
      </c>
      <c r="B170" s="1">
        <v>46017</v>
      </c>
      <c r="C170" s="5" t="s">
        <v>35</v>
      </c>
      <c r="D170" s="5" t="s">
        <v>28</v>
      </c>
      <c r="E170" s="5" t="s">
        <v>54</v>
      </c>
      <c r="F170" s="5" t="s">
        <v>63</v>
      </c>
      <c r="G170" s="5" t="s">
        <v>22</v>
      </c>
      <c r="H170" s="5" t="s">
        <v>51</v>
      </c>
      <c r="I170" s="5">
        <v>193</v>
      </c>
      <c r="J170" s="5">
        <v>1355</v>
      </c>
      <c r="K170" s="5">
        <v>1779.28</v>
      </c>
      <c r="L170" s="5">
        <v>642</v>
      </c>
      <c r="M170" s="5">
        <v>178</v>
      </c>
      <c r="N170" s="5">
        <v>10</v>
      </c>
      <c r="O170" s="5" t="s">
        <v>24</v>
      </c>
      <c r="P170" s="5">
        <v>3562</v>
      </c>
      <c r="Q170" s="5" t="s">
        <v>33</v>
      </c>
      <c r="R170" s="2">
        <v>343401.04</v>
      </c>
      <c r="S170" s="2">
        <v>81886.039999999994</v>
      </c>
      <c r="T170" s="1">
        <v>46017</v>
      </c>
      <c r="U170" s="5">
        <v>12</v>
      </c>
    </row>
    <row r="171" spans="1:21" x14ac:dyDescent="0.3">
      <c r="A171" s="5" t="s">
        <v>232</v>
      </c>
      <c r="B171" s="1">
        <v>45911</v>
      </c>
      <c r="C171" s="5" t="s">
        <v>35</v>
      </c>
      <c r="D171" s="5" t="s">
        <v>28</v>
      </c>
      <c r="E171" s="5" t="s">
        <v>20</v>
      </c>
      <c r="F171" s="5" t="s">
        <v>21</v>
      </c>
      <c r="G171" s="5" t="s">
        <v>38</v>
      </c>
      <c r="H171" s="5" t="s">
        <v>23</v>
      </c>
      <c r="I171" s="5">
        <v>124</v>
      </c>
      <c r="J171" s="5">
        <v>3515</v>
      </c>
      <c r="K171" s="5">
        <v>4815.29</v>
      </c>
      <c r="L171" s="5">
        <v>1091</v>
      </c>
      <c r="M171" s="5">
        <v>124</v>
      </c>
      <c r="N171" s="5">
        <v>4</v>
      </c>
      <c r="O171" s="5" t="s">
        <v>32</v>
      </c>
      <c r="P171" s="5">
        <v>2857</v>
      </c>
      <c r="Q171" s="5" t="s">
        <v>33</v>
      </c>
      <c r="R171" s="2">
        <v>597095.96</v>
      </c>
      <c r="S171" s="2">
        <v>161235.96</v>
      </c>
      <c r="T171" s="1">
        <v>45911</v>
      </c>
      <c r="U171" s="5">
        <v>9</v>
      </c>
    </row>
    <row r="172" spans="1:21" x14ac:dyDescent="0.3">
      <c r="A172" s="5" t="s">
        <v>233</v>
      </c>
      <c r="B172" s="1">
        <v>45786</v>
      </c>
      <c r="C172" s="5" t="s">
        <v>35</v>
      </c>
      <c r="D172" s="5" t="s">
        <v>62</v>
      </c>
      <c r="E172" s="5" t="s">
        <v>20</v>
      </c>
      <c r="F172" s="5" t="s">
        <v>100</v>
      </c>
      <c r="G172" s="5" t="s">
        <v>38</v>
      </c>
      <c r="H172" s="5" t="s">
        <v>23</v>
      </c>
      <c r="I172" s="5">
        <v>177</v>
      </c>
      <c r="J172" s="5">
        <v>545</v>
      </c>
      <c r="K172" s="5">
        <v>659.64</v>
      </c>
      <c r="L172" s="5">
        <v>860</v>
      </c>
      <c r="M172" s="5">
        <v>86</v>
      </c>
      <c r="N172" s="5">
        <v>10</v>
      </c>
      <c r="O172" s="5" t="s">
        <v>24</v>
      </c>
      <c r="P172" s="5">
        <v>7649</v>
      </c>
      <c r="Q172" s="5" t="s">
        <v>46</v>
      </c>
      <c r="R172" s="2">
        <v>116756.28</v>
      </c>
      <c r="S172" s="2">
        <v>20291.28</v>
      </c>
      <c r="T172" s="1">
        <v>45786</v>
      </c>
      <c r="U172" s="5">
        <v>5</v>
      </c>
    </row>
    <row r="173" spans="1:21" x14ac:dyDescent="0.3">
      <c r="A173" s="5" t="s">
        <v>234</v>
      </c>
      <c r="B173" s="1">
        <v>46007</v>
      </c>
      <c r="C173" s="5" t="s">
        <v>35</v>
      </c>
      <c r="D173" s="5" t="s">
        <v>62</v>
      </c>
      <c r="E173" s="5" t="s">
        <v>29</v>
      </c>
      <c r="F173" s="5" t="s">
        <v>69</v>
      </c>
      <c r="G173" s="5" t="s">
        <v>31</v>
      </c>
      <c r="H173" s="5" t="s">
        <v>23</v>
      </c>
      <c r="I173" s="5">
        <v>397</v>
      </c>
      <c r="J173" s="5">
        <v>2986</v>
      </c>
      <c r="K173" s="5">
        <v>3666.05</v>
      </c>
      <c r="L173" s="5">
        <v>1334</v>
      </c>
      <c r="M173" s="5">
        <v>205</v>
      </c>
      <c r="N173" s="5">
        <v>4</v>
      </c>
      <c r="O173" s="5" t="s">
        <v>32</v>
      </c>
      <c r="P173" s="5">
        <v>2384</v>
      </c>
      <c r="Q173" s="5" t="s">
        <v>33</v>
      </c>
      <c r="R173" s="2">
        <v>1455421.85</v>
      </c>
      <c r="S173" s="2">
        <v>269979.84999999998</v>
      </c>
      <c r="T173" s="1">
        <v>46007</v>
      </c>
      <c r="U173" s="5">
        <v>12</v>
      </c>
    </row>
    <row r="174" spans="1:21" x14ac:dyDescent="0.3">
      <c r="A174" s="5" t="s">
        <v>235</v>
      </c>
      <c r="B174" s="1">
        <v>45953</v>
      </c>
      <c r="C174" s="5" t="s">
        <v>18</v>
      </c>
      <c r="D174" s="5" t="s">
        <v>28</v>
      </c>
      <c r="E174" s="5" t="s">
        <v>20</v>
      </c>
      <c r="F174" s="5" t="s">
        <v>37</v>
      </c>
      <c r="G174" s="5" t="s">
        <v>38</v>
      </c>
      <c r="H174" s="5" t="s">
        <v>51</v>
      </c>
      <c r="I174" s="5">
        <v>263</v>
      </c>
      <c r="J174" s="5">
        <v>849</v>
      </c>
      <c r="K174" s="5">
        <v>1225.5899999999999</v>
      </c>
      <c r="L174" s="5">
        <v>1173</v>
      </c>
      <c r="M174" s="5">
        <v>113</v>
      </c>
      <c r="N174" s="5">
        <v>4</v>
      </c>
      <c r="O174" s="5" t="s">
        <v>32</v>
      </c>
      <c r="P174" s="5">
        <v>4077</v>
      </c>
      <c r="Q174" s="5" t="s">
        <v>33</v>
      </c>
      <c r="R174" s="2">
        <v>322330.17</v>
      </c>
      <c r="S174" s="2">
        <v>99043.17</v>
      </c>
      <c r="T174" s="1">
        <v>45953</v>
      </c>
      <c r="U174" s="5">
        <v>10</v>
      </c>
    </row>
    <row r="175" spans="1:21" x14ac:dyDescent="0.3">
      <c r="A175" s="5" t="s">
        <v>236</v>
      </c>
      <c r="B175" s="1">
        <v>45960</v>
      </c>
      <c r="C175" s="5" t="s">
        <v>18</v>
      </c>
      <c r="D175" s="5" t="s">
        <v>36</v>
      </c>
      <c r="E175" s="5" t="s">
        <v>29</v>
      </c>
      <c r="F175" s="5" t="s">
        <v>73</v>
      </c>
      <c r="G175" s="5" t="s">
        <v>22</v>
      </c>
      <c r="H175" s="5" t="s">
        <v>51</v>
      </c>
      <c r="I175" s="5">
        <v>82</v>
      </c>
      <c r="J175" s="5">
        <v>3274</v>
      </c>
      <c r="K175" s="5">
        <v>4408.72</v>
      </c>
      <c r="L175" s="5">
        <v>1015</v>
      </c>
      <c r="M175" s="5">
        <v>145</v>
      </c>
      <c r="N175" s="5">
        <v>2</v>
      </c>
      <c r="O175" s="5" t="s">
        <v>32</v>
      </c>
      <c r="P175" s="5">
        <v>6141</v>
      </c>
      <c r="Q175" s="5" t="s">
        <v>33</v>
      </c>
      <c r="R175" s="2">
        <v>361515.04</v>
      </c>
      <c r="S175" s="2">
        <v>93047.039999999994</v>
      </c>
      <c r="T175" s="1">
        <v>45960</v>
      </c>
      <c r="U175" s="5">
        <v>10</v>
      </c>
    </row>
    <row r="176" spans="1:21" x14ac:dyDescent="0.3">
      <c r="A176" s="5" t="s">
        <v>237</v>
      </c>
      <c r="B176" s="1">
        <v>45852</v>
      </c>
      <c r="C176" s="5" t="s">
        <v>27</v>
      </c>
      <c r="D176" s="5" t="s">
        <v>53</v>
      </c>
      <c r="E176" s="5" t="s">
        <v>54</v>
      </c>
      <c r="F176" s="5" t="s">
        <v>55</v>
      </c>
      <c r="G176" s="5" t="s">
        <v>56</v>
      </c>
      <c r="H176" s="5" t="s">
        <v>51</v>
      </c>
      <c r="I176" s="5">
        <v>93</v>
      </c>
      <c r="J176" s="5">
        <v>3763</v>
      </c>
      <c r="K176" s="5">
        <v>5101.32</v>
      </c>
      <c r="L176" s="5">
        <v>786</v>
      </c>
      <c r="M176" s="5">
        <v>270</v>
      </c>
      <c r="N176" s="5">
        <v>5</v>
      </c>
      <c r="O176" s="5" t="s">
        <v>32</v>
      </c>
      <c r="P176" s="5">
        <v>4037</v>
      </c>
      <c r="Q176" s="5" t="s">
        <v>33</v>
      </c>
      <c r="R176" s="2">
        <v>474422.76</v>
      </c>
      <c r="S176" s="2">
        <v>124463.76</v>
      </c>
      <c r="T176" s="1">
        <v>45852</v>
      </c>
      <c r="U176" s="5">
        <v>7</v>
      </c>
    </row>
    <row r="177" spans="1:21" x14ac:dyDescent="0.3">
      <c r="A177" s="5" t="s">
        <v>238</v>
      </c>
      <c r="B177" s="1">
        <v>45727</v>
      </c>
      <c r="C177" s="5" t="s">
        <v>42</v>
      </c>
      <c r="D177" s="5" t="s">
        <v>28</v>
      </c>
      <c r="E177" s="5" t="s">
        <v>29</v>
      </c>
      <c r="F177" s="5" t="s">
        <v>58</v>
      </c>
      <c r="G177" s="5" t="s">
        <v>38</v>
      </c>
      <c r="H177" s="5" t="s">
        <v>39</v>
      </c>
      <c r="I177" s="5">
        <v>347</v>
      </c>
      <c r="J177" s="5">
        <v>3814</v>
      </c>
      <c r="K177" s="5">
        <v>5205.9399999999996</v>
      </c>
      <c r="L177" s="5">
        <v>661</v>
      </c>
      <c r="M177" s="5">
        <v>226</v>
      </c>
      <c r="N177" s="5">
        <v>6</v>
      </c>
      <c r="O177" s="5" t="s">
        <v>24</v>
      </c>
      <c r="P177" s="5">
        <v>6977</v>
      </c>
      <c r="Q177" s="5" t="s">
        <v>46</v>
      </c>
      <c r="R177" s="2">
        <v>1806461.18</v>
      </c>
      <c r="S177" s="2">
        <v>483003.18</v>
      </c>
      <c r="T177" s="1">
        <v>45727</v>
      </c>
      <c r="U177" s="5">
        <v>3</v>
      </c>
    </row>
    <row r="178" spans="1:21" x14ac:dyDescent="0.3">
      <c r="A178" s="5" t="s">
        <v>239</v>
      </c>
      <c r="B178" s="1">
        <v>45669</v>
      </c>
      <c r="C178" s="5" t="s">
        <v>35</v>
      </c>
      <c r="D178" s="5" t="s">
        <v>28</v>
      </c>
      <c r="E178" s="5" t="s">
        <v>54</v>
      </c>
      <c r="F178" s="5" t="s">
        <v>55</v>
      </c>
      <c r="G178" s="5" t="s">
        <v>31</v>
      </c>
      <c r="H178" s="5" t="s">
        <v>39</v>
      </c>
      <c r="I178" s="5">
        <v>394</v>
      </c>
      <c r="J178" s="5">
        <v>187</v>
      </c>
      <c r="K178" s="5">
        <v>237.54</v>
      </c>
      <c r="L178" s="5">
        <v>1859</v>
      </c>
      <c r="M178" s="5">
        <v>81</v>
      </c>
      <c r="N178" s="5">
        <v>3</v>
      </c>
      <c r="O178" s="5" t="s">
        <v>32</v>
      </c>
      <c r="P178" s="5">
        <v>1776</v>
      </c>
      <c r="Q178" s="5" t="s">
        <v>33</v>
      </c>
      <c r="R178" s="2">
        <v>93590.76</v>
      </c>
      <c r="S178" s="2">
        <v>19912.759999999998</v>
      </c>
      <c r="T178" s="1">
        <v>45669</v>
      </c>
      <c r="U178" s="5">
        <v>1</v>
      </c>
    </row>
    <row r="179" spans="1:21" x14ac:dyDescent="0.3">
      <c r="A179" s="5" t="s">
        <v>240</v>
      </c>
      <c r="B179" s="1">
        <v>45790</v>
      </c>
      <c r="C179" s="5" t="s">
        <v>35</v>
      </c>
      <c r="D179" s="5" t="s">
        <v>19</v>
      </c>
      <c r="E179" s="5" t="s">
        <v>49</v>
      </c>
      <c r="F179" s="5" t="s">
        <v>75</v>
      </c>
      <c r="G179" s="5" t="s">
        <v>22</v>
      </c>
      <c r="H179" s="5" t="s">
        <v>39</v>
      </c>
      <c r="I179" s="5">
        <v>42</v>
      </c>
      <c r="J179" s="5">
        <v>3092</v>
      </c>
      <c r="K179" s="5">
        <v>4606.13</v>
      </c>
      <c r="L179" s="5">
        <v>124</v>
      </c>
      <c r="M179" s="5">
        <v>166</v>
      </c>
      <c r="N179" s="5">
        <v>7</v>
      </c>
      <c r="O179" s="5" t="s">
        <v>24</v>
      </c>
      <c r="P179" s="5">
        <v>6654</v>
      </c>
      <c r="Q179" s="5" t="s">
        <v>46</v>
      </c>
      <c r="R179" s="2">
        <v>193457.46</v>
      </c>
      <c r="S179" s="2">
        <v>63593.46</v>
      </c>
      <c r="T179" s="1">
        <v>45790</v>
      </c>
      <c r="U179" s="5">
        <v>5</v>
      </c>
    </row>
    <row r="180" spans="1:21" x14ac:dyDescent="0.3">
      <c r="A180" s="5" t="s">
        <v>241</v>
      </c>
      <c r="B180" s="1">
        <v>45747</v>
      </c>
      <c r="C180" s="5" t="s">
        <v>42</v>
      </c>
      <c r="D180" s="5" t="s">
        <v>19</v>
      </c>
      <c r="E180" s="5" t="s">
        <v>20</v>
      </c>
      <c r="F180" s="5" t="s">
        <v>37</v>
      </c>
      <c r="G180" s="5" t="s">
        <v>31</v>
      </c>
      <c r="H180" s="5" t="s">
        <v>51</v>
      </c>
      <c r="I180" s="5">
        <v>57</v>
      </c>
      <c r="J180" s="5">
        <v>2788</v>
      </c>
      <c r="K180" s="5">
        <v>3955.88</v>
      </c>
      <c r="L180" s="5">
        <v>908</v>
      </c>
      <c r="M180" s="5">
        <v>287</v>
      </c>
      <c r="N180" s="5">
        <v>4</v>
      </c>
      <c r="O180" s="5" t="s">
        <v>32</v>
      </c>
      <c r="P180" s="5">
        <v>1188</v>
      </c>
      <c r="Q180" s="5" t="s">
        <v>25</v>
      </c>
      <c r="R180" s="2">
        <v>225485.16</v>
      </c>
      <c r="S180" s="2">
        <v>66569.16</v>
      </c>
      <c r="T180" s="1">
        <v>45747</v>
      </c>
      <c r="U180" s="5">
        <v>3</v>
      </c>
    </row>
    <row r="181" spans="1:21" x14ac:dyDescent="0.3">
      <c r="A181" s="5" t="s">
        <v>242</v>
      </c>
      <c r="B181" s="1">
        <v>45883</v>
      </c>
      <c r="C181" s="5" t="s">
        <v>42</v>
      </c>
      <c r="D181" s="5" t="s">
        <v>28</v>
      </c>
      <c r="E181" s="5" t="s">
        <v>29</v>
      </c>
      <c r="F181" s="5" t="s">
        <v>43</v>
      </c>
      <c r="G181" s="5" t="s">
        <v>31</v>
      </c>
      <c r="H181" s="5" t="s">
        <v>23</v>
      </c>
      <c r="I181" s="5">
        <v>390</v>
      </c>
      <c r="J181" s="5">
        <v>1750</v>
      </c>
      <c r="K181" s="5">
        <v>2332.96</v>
      </c>
      <c r="L181" s="5">
        <v>1373</v>
      </c>
      <c r="M181" s="5">
        <v>146</v>
      </c>
      <c r="N181" s="5">
        <v>7</v>
      </c>
      <c r="O181" s="5" t="s">
        <v>24</v>
      </c>
      <c r="P181" s="5">
        <v>5856</v>
      </c>
      <c r="Q181" s="5" t="s">
        <v>33</v>
      </c>
      <c r="R181" s="2">
        <v>909854.4</v>
      </c>
      <c r="S181" s="2">
        <v>227354.4</v>
      </c>
      <c r="T181" s="1">
        <v>45883</v>
      </c>
      <c r="U181" s="5">
        <v>8</v>
      </c>
    </row>
    <row r="182" spans="1:21" x14ac:dyDescent="0.3">
      <c r="A182" s="5" t="s">
        <v>243</v>
      </c>
      <c r="B182" s="1">
        <v>45692</v>
      </c>
      <c r="C182" s="5" t="s">
        <v>42</v>
      </c>
      <c r="D182" s="5" t="s">
        <v>19</v>
      </c>
      <c r="E182" s="5" t="s">
        <v>20</v>
      </c>
      <c r="F182" s="5" t="s">
        <v>100</v>
      </c>
      <c r="G182" s="5" t="s">
        <v>22</v>
      </c>
      <c r="H182" s="5" t="s">
        <v>39</v>
      </c>
      <c r="I182" s="5">
        <v>212</v>
      </c>
      <c r="J182" s="5">
        <v>4768</v>
      </c>
      <c r="K182" s="5">
        <v>6572.78</v>
      </c>
      <c r="L182" s="5">
        <v>1333</v>
      </c>
      <c r="M182" s="5">
        <v>204</v>
      </c>
      <c r="N182" s="5">
        <v>4</v>
      </c>
      <c r="O182" s="5" t="s">
        <v>32</v>
      </c>
      <c r="P182" s="5">
        <v>1052</v>
      </c>
      <c r="Q182" s="5" t="s">
        <v>25</v>
      </c>
      <c r="R182" s="2">
        <v>1393429.36</v>
      </c>
      <c r="S182" s="2">
        <v>382613.36</v>
      </c>
      <c r="T182" s="1">
        <v>45692</v>
      </c>
      <c r="U182" s="5">
        <v>2</v>
      </c>
    </row>
    <row r="183" spans="1:21" x14ac:dyDescent="0.3">
      <c r="A183" s="5" t="s">
        <v>244</v>
      </c>
      <c r="B183" s="1">
        <v>45998</v>
      </c>
      <c r="C183" s="5" t="s">
        <v>27</v>
      </c>
      <c r="D183" s="5" t="s">
        <v>36</v>
      </c>
      <c r="E183" s="5" t="s">
        <v>20</v>
      </c>
      <c r="F183" s="5" t="s">
        <v>37</v>
      </c>
      <c r="G183" s="5" t="s">
        <v>56</v>
      </c>
      <c r="H183" s="5" t="s">
        <v>23</v>
      </c>
      <c r="I183" s="5">
        <v>333</v>
      </c>
      <c r="J183" s="5">
        <v>2548</v>
      </c>
      <c r="K183" s="5">
        <v>3409.98</v>
      </c>
      <c r="L183" s="5">
        <v>124</v>
      </c>
      <c r="M183" s="5">
        <v>225</v>
      </c>
      <c r="N183" s="5">
        <v>9</v>
      </c>
      <c r="O183" s="5" t="s">
        <v>24</v>
      </c>
      <c r="P183" s="5">
        <v>4828</v>
      </c>
      <c r="Q183" s="5" t="s">
        <v>33</v>
      </c>
      <c r="R183" s="2">
        <v>1135523.3400000001</v>
      </c>
      <c r="S183" s="2">
        <v>287039.34000000003</v>
      </c>
      <c r="T183" s="1">
        <v>45998</v>
      </c>
      <c r="U183" s="5">
        <v>12</v>
      </c>
    </row>
    <row r="184" spans="1:21" x14ac:dyDescent="0.3">
      <c r="A184" s="5" t="s">
        <v>245</v>
      </c>
      <c r="B184" s="1">
        <v>45754</v>
      </c>
      <c r="C184" s="5" t="s">
        <v>42</v>
      </c>
      <c r="D184" s="5" t="s">
        <v>62</v>
      </c>
      <c r="E184" s="5" t="s">
        <v>54</v>
      </c>
      <c r="F184" s="5" t="s">
        <v>63</v>
      </c>
      <c r="G184" s="5" t="s">
        <v>38</v>
      </c>
      <c r="H184" s="5" t="s">
        <v>23</v>
      </c>
      <c r="I184" s="5">
        <v>342</v>
      </c>
      <c r="J184" s="5">
        <v>442</v>
      </c>
      <c r="K184" s="5">
        <v>570.19000000000005</v>
      </c>
      <c r="L184" s="5">
        <v>228</v>
      </c>
      <c r="M184" s="5">
        <v>110</v>
      </c>
      <c r="N184" s="5">
        <v>8</v>
      </c>
      <c r="O184" s="5" t="s">
        <v>24</v>
      </c>
      <c r="P184" s="5">
        <v>5142</v>
      </c>
      <c r="Q184" s="5" t="s">
        <v>46</v>
      </c>
      <c r="R184" s="2">
        <v>195004.98</v>
      </c>
      <c r="S184" s="2">
        <v>43840.98</v>
      </c>
      <c r="T184" s="1">
        <v>45754</v>
      </c>
      <c r="U184" s="5">
        <v>4</v>
      </c>
    </row>
    <row r="185" spans="1:21" x14ac:dyDescent="0.3">
      <c r="A185" s="5" t="s">
        <v>246</v>
      </c>
      <c r="B185" s="1">
        <v>45841</v>
      </c>
      <c r="C185" s="5" t="s">
        <v>42</v>
      </c>
      <c r="D185" s="5" t="s">
        <v>36</v>
      </c>
      <c r="E185" s="5" t="s">
        <v>49</v>
      </c>
      <c r="F185" s="5" t="s">
        <v>75</v>
      </c>
      <c r="G185" s="5" t="s">
        <v>31</v>
      </c>
      <c r="H185" s="5" t="s">
        <v>39</v>
      </c>
      <c r="I185" s="5">
        <v>323</v>
      </c>
      <c r="J185" s="5">
        <v>1680</v>
      </c>
      <c r="K185" s="5">
        <v>2036.6</v>
      </c>
      <c r="L185" s="5">
        <v>1355</v>
      </c>
      <c r="M185" s="5">
        <v>180</v>
      </c>
      <c r="N185" s="5">
        <v>9</v>
      </c>
      <c r="O185" s="5" t="s">
        <v>24</v>
      </c>
      <c r="P185" s="5">
        <v>3398</v>
      </c>
      <c r="Q185" s="5" t="s">
        <v>46</v>
      </c>
      <c r="R185" s="2">
        <v>657821.80000000005</v>
      </c>
      <c r="S185" s="2">
        <v>115181.8</v>
      </c>
      <c r="T185" s="1">
        <v>45841</v>
      </c>
      <c r="U185" s="5">
        <v>7</v>
      </c>
    </row>
    <row r="186" spans="1:21" x14ac:dyDescent="0.3">
      <c r="A186" s="5" t="s">
        <v>247</v>
      </c>
      <c r="B186" s="1">
        <v>45678</v>
      </c>
      <c r="C186" s="5" t="s">
        <v>42</v>
      </c>
      <c r="D186" s="5" t="s">
        <v>53</v>
      </c>
      <c r="E186" s="5" t="s">
        <v>54</v>
      </c>
      <c r="F186" s="5" t="s">
        <v>63</v>
      </c>
      <c r="G186" s="5" t="s">
        <v>22</v>
      </c>
      <c r="H186" s="5" t="s">
        <v>23</v>
      </c>
      <c r="I186" s="5">
        <v>341</v>
      </c>
      <c r="J186" s="5">
        <v>598</v>
      </c>
      <c r="K186" s="5">
        <v>882.17</v>
      </c>
      <c r="L186" s="5">
        <v>592</v>
      </c>
      <c r="M186" s="5">
        <v>193</v>
      </c>
      <c r="N186" s="5">
        <v>8</v>
      </c>
      <c r="O186" s="5" t="s">
        <v>24</v>
      </c>
      <c r="P186" s="5">
        <v>6399</v>
      </c>
      <c r="Q186" s="5" t="s">
        <v>40</v>
      </c>
      <c r="R186" s="2">
        <v>300819.96999999997</v>
      </c>
      <c r="S186" s="2">
        <v>96901.97</v>
      </c>
      <c r="T186" s="1">
        <v>45678</v>
      </c>
      <c r="U186" s="5">
        <v>1</v>
      </c>
    </row>
    <row r="187" spans="1:21" x14ac:dyDescent="0.3">
      <c r="A187" s="5" t="s">
        <v>248</v>
      </c>
      <c r="B187" s="1">
        <v>45659</v>
      </c>
      <c r="C187" s="5" t="s">
        <v>35</v>
      </c>
      <c r="D187" s="5" t="s">
        <v>62</v>
      </c>
      <c r="E187" s="5" t="s">
        <v>49</v>
      </c>
      <c r="F187" s="5" t="s">
        <v>75</v>
      </c>
      <c r="G187" s="5" t="s">
        <v>22</v>
      </c>
      <c r="H187" s="5" t="s">
        <v>51</v>
      </c>
      <c r="I187" s="5">
        <v>476</v>
      </c>
      <c r="J187" s="5">
        <v>1912</v>
      </c>
      <c r="K187" s="5">
        <v>2419.39</v>
      </c>
      <c r="L187" s="5">
        <v>1026</v>
      </c>
      <c r="M187" s="5">
        <v>289</v>
      </c>
      <c r="N187" s="5">
        <v>9</v>
      </c>
      <c r="O187" s="5" t="s">
        <v>24</v>
      </c>
      <c r="P187" s="5">
        <v>2315</v>
      </c>
      <c r="Q187" s="5" t="s">
        <v>33</v>
      </c>
      <c r="R187" s="2">
        <v>1151629.6399999999</v>
      </c>
      <c r="S187" s="2">
        <v>241517.64</v>
      </c>
      <c r="T187" s="1">
        <v>45659</v>
      </c>
      <c r="U187" s="5">
        <v>1</v>
      </c>
    </row>
    <row r="188" spans="1:21" x14ac:dyDescent="0.3">
      <c r="A188" s="5" t="s">
        <v>249</v>
      </c>
      <c r="B188" s="1">
        <v>46005</v>
      </c>
      <c r="C188" s="5" t="s">
        <v>42</v>
      </c>
      <c r="D188" s="5" t="s">
        <v>62</v>
      </c>
      <c r="E188" s="5" t="s">
        <v>49</v>
      </c>
      <c r="F188" s="5" t="s">
        <v>94</v>
      </c>
      <c r="G188" s="5" t="s">
        <v>56</v>
      </c>
      <c r="H188" s="5" t="s">
        <v>23</v>
      </c>
      <c r="I188" s="5">
        <v>207</v>
      </c>
      <c r="J188" s="5">
        <v>4270</v>
      </c>
      <c r="K188" s="5">
        <v>4944.08</v>
      </c>
      <c r="L188" s="5">
        <v>942</v>
      </c>
      <c r="M188" s="5">
        <v>182</v>
      </c>
      <c r="N188" s="5">
        <v>2</v>
      </c>
      <c r="O188" s="5" t="s">
        <v>24</v>
      </c>
      <c r="P188" s="5">
        <v>744</v>
      </c>
      <c r="Q188" s="5" t="s">
        <v>25</v>
      </c>
      <c r="R188" s="2">
        <v>1023424.56</v>
      </c>
      <c r="S188" s="2">
        <v>139534.56</v>
      </c>
      <c r="T188" s="1">
        <v>46005</v>
      </c>
      <c r="U188" s="5">
        <v>12</v>
      </c>
    </row>
    <row r="189" spans="1:21" x14ac:dyDescent="0.3">
      <c r="A189" s="5" t="s">
        <v>250</v>
      </c>
      <c r="B189" s="1">
        <v>45674</v>
      </c>
      <c r="C189" s="5" t="s">
        <v>18</v>
      </c>
      <c r="D189" s="5" t="s">
        <v>36</v>
      </c>
      <c r="E189" s="5" t="s">
        <v>54</v>
      </c>
      <c r="F189" s="5" t="s">
        <v>81</v>
      </c>
      <c r="G189" s="5" t="s">
        <v>38</v>
      </c>
      <c r="H189" s="5" t="s">
        <v>23</v>
      </c>
      <c r="I189" s="5">
        <v>232</v>
      </c>
      <c r="J189" s="5">
        <v>2125</v>
      </c>
      <c r="K189" s="5">
        <v>2868.74</v>
      </c>
      <c r="L189" s="5">
        <v>1333</v>
      </c>
      <c r="M189" s="5">
        <v>112</v>
      </c>
      <c r="N189" s="5">
        <v>9</v>
      </c>
      <c r="O189" s="5" t="s">
        <v>24</v>
      </c>
      <c r="P189" s="5">
        <v>3627</v>
      </c>
      <c r="Q189" s="5" t="s">
        <v>33</v>
      </c>
      <c r="R189" s="2">
        <v>665547.68000000005</v>
      </c>
      <c r="S189" s="2">
        <v>172547.68</v>
      </c>
      <c r="T189" s="1">
        <v>45674</v>
      </c>
      <c r="U189" s="5">
        <v>1</v>
      </c>
    </row>
    <row r="190" spans="1:21" x14ac:dyDescent="0.3">
      <c r="A190" s="5" t="s">
        <v>251</v>
      </c>
      <c r="B190" s="1">
        <v>46008</v>
      </c>
      <c r="C190" s="5" t="s">
        <v>35</v>
      </c>
      <c r="D190" s="5" t="s">
        <v>62</v>
      </c>
      <c r="E190" s="5" t="s">
        <v>49</v>
      </c>
      <c r="F190" s="5" t="s">
        <v>50</v>
      </c>
      <c r="G190" s="5" t="s">
        <v>31</v>
      </c>
      <c r="H190" s="5" t="s">
        <v>23</v>
      </c>
      <c r="I190" s="5">
        <v>238</v>
      </c>
      <c r="J190" s="5">
        <v>3476</v>
      </c>
      <c r="K190" s="5">
        <v>5099.5600000000004</v>
      </c>
      <c r="L190" s="5">
        <v>582</v>
      </c>
      <c r="M190" s="5">
        <v>158</v>
      </c>
      <c r="N190" s="5">
        <v>4</v>
      </c>
      <c r="O190" s="5" t="s">
        <v>32</v>
      </c>
      <c r="P190" s="5">
        <v>5635</v>
      </c>
      <c r="Q190" s="5" t="s">
        <v>25</v>
      </c>
      <c r="R190" s="2">
        <v>1213695.28</v>
      </c>
      <c r="S190" s="2">
        <v>386407.28</v>
      </c>
      <c r="T190" s="1">
        <v>46008</v>
      </c>
      <c r="U190" s="5">
        <v>12</v>
      </c>
    </row>
    <row r="191" spans="1:21" x14ac:dyDescent="0.3">
      <c r="A191" s="5" t="s">
        <v>252</v>
      </c>
      <c r="B191" s="1">
        <v>45776</v>
      </c>
      <c r="C191" s="5" t="s">
        <v>42</v>
      </c>
      <c r="D191" s="5" t="s">
        <v>19</v>
      </c>
      <c r="E191" s="5" t="s">
        <v>29</v>
      </c>
      <c r="F191" s="5" t="s">
        <v>69</v>
      </c>
      <c r="G191" s="5" t="s">
        <v>38</v>
      </c>
      <c r="H191" s="5" t="s">
        <v>23</v>
      </c>
      <c r="I191" s="5">
        <v>344</v>
      </c>
      <c r="J191" s="5">
        <v>4313</v>
      </c>
      <c r="K191" s="5">
        <v>5475.18</v>
      </c>
      <c r="L191" s="5">
        <v>57</v>
      </c>
      <c r="M191" s="5">
        <v>183</v>
      </c>
      <c r="N191" s="5">
        <v>3</v>
      </c>
      <c r="O191" s="5" t="s">
        <v>32</v>
      </c>
      <c r="P191" s="5">
        <v>1644</v>
      </c>
      <c r="Q191" s="5" t="s">
        <v>25</v>
      </c>
      <c r="R191" s="2">
        <v>1883461.92</v>
      </c>
      <c r="S191" s="2">
        <v>399789.92</v>
      </c>
      <c r="T191" s="1">
        <v>45776</v>
      </c>
      <c r="U191" s="5">
        <v>4</v>
      </c>
    </row>
    <row r="192" spans="1:21" x14ac:dyDescent="0.3">
      <c r="A192" s="5" t="s">
        <v>253</v>
      </c>
      <c r="B192" s="1">
        <v>45856</v>
      </c>
      <c r="C192" s="5" t="s">
        <v>27</v>
      </c>
      <c r="D192" s="5" t="s">
        <v>62</v>
      </c>
      <c r="E192" s="5" t="s">
        <v>29</v>
      </c>
      <c r="F192" s="5" t="s">
        <v>58</v>
      </c>
      <c r="G192" s="5" t="s">
        <v>56</v>
      </c>
      <c r="H192" s="5" t="s">
        <v>23</v>
      </c>
      <c r="I192" s="5">
        <v>460</v>
      </c>
      <c r="J192" s="5">
        <v>3094</v>
      </c>
      <c r="K192" s="5">
        <v>3630.9</v>
      </c>
      <c r="L192" s="5">
        <v>240</v>
      </c>
      <c r="M192" s="5">
        <v>290</v>
      </c>
      <c r="N192" s="5">
        <v>10</v>
      </c>
      <c r="O192" s="5" t="s">
        <v>24</v>
      </c>
      <c r="P192" s="5">
        <v>4382</v>
      </c>
      <c r="Q192" s="5" t="s">
        <v>46</v>
      </c>
      <c r="R192" s="2">
        <v>1670214</v>
      </c>
      <c r="S192" s="2">
        <v>246974</v>
      </c>
      <c r="T192" s="1">
        <v>45856</v>
      </c>
      <c r="U192" s="5">
        <v>7</v>
      </c>
    </row>
    <row r="193" spans="1:21" x14ac:dyDescent="0.3">
      <c r="A193" s="5" t="s">
        <v>254</v>
      </c>
      <c r="B193" s="1">
        <v>45869</v>
      </c>
      <c r="C193" s="5" t="s">
        <v>42</v>
      </c>
      <c r="D193" s="5" t="s">
        <v>19</v>
      </c>
      <c r="E193" s="5" t="s">
        <v>49</v>
      </c>
      <c r="F193" s="5" t="s">
        <v>94</v>
      </c>
      <c r="G193" s="5" t="s">
        <v>31</v>
      </c>
      <c r="H193" s="5" t="s">
        <v>39</v>
      </c>
      <c r="I193" s="5">
        <v>122</v>
      </c>
      <c r="J193" s="5">
        <v>3924</v>
      </c>
      <c r="K193" s="5">
        <v>5440.55</v>
      </c>
      <c r="L193" s="5">
        <v>239</v>
      </c>
      <c r="M193" s="5">
        <v>141</v>
      </c>
      <c r="N193" s="5">
        <v>5</v>
      </c>
      <c r="O193" s="5" t="s">
        <v>32</v>
      </c>
      <c r="P193" s="5">
        <v>4499</v>
      </c>
      <c r="Q193" s="5" t="s">
        <v>33</v>
      </c>
      <c r="R193" s="2">
        <v>663747.1</v>
      </c>
      <c r="S193" s="2">
        <v>185019.1</v>
      </c>
      <c r="T193" s="1">
        <v>45869</v>
      </c>
      <c r="U193" s="5">
        <v>7</v>
      </c>
    </row>
    <row r="194" spans="1:21" x14ac:dyDescent="0.3">
      <c r="A194" s="5" t="s">
        <v>255</v>
      </c>
      <c r="B194" s="1">
        <v>45864</v>
      </c>
      <c r="C194" s="5" t="s">
        <v>35</v>
      </c>
      <c r="D194" s="5" t="s">
        <v>19</v>
      </c>
      <c r="E194" s="5" t="s">
        <v>49</v>
      </c>
      <c r="F194" s="5" t="s">
        <v>89</v>
      </c>
      <c r="G194" s="5" t="s">
        <v>38</v>
      </c>
      <c r="H194" s="5" t="s">
        <v>39</v>
      </c>
      <c r="I194" s="5">
        <v>209</v>
      </c>
      <c r="J194" s="5">
        <v>2822</v>
      </c>
      <c r="K194" s="5">
        <v>3437.64</v>
      </c>
      <c r="L194" s="5">
        <v>922</v>
      </c>
      <c r="M194" s="5">
        <v>290</v>
      </c>
      <c r="N194" s="5">
        <v>10</v>
      </c>
      <c r="O194" s="5" t="s">
        <v>24</v>
      </c>
      <c r="P194" s="5">
        <v>2940</v>
      </c>
      <c r="Q194" s="5" t="s">
        <v>40</v>
      </c>
      <c r="R194" s="2">
        <v>718466.76</v>
      </c>
      <c r="S194" s="2">
        <v>128668.76</v>
      </c>
      <c r="T194" s="1">
        <v>45864</v>
      </c>
      <c r="U194" s="5">
        <v>7</v>
      </c>
    </row>
    <row r="195" spans="1:21" x14ac:dyDescent="0.3">
      <c r="A195" s="5" t="s">
        <v>256</v>
      </c>
      <c r="B195" s="1">
        <v>45765</v>
      </c>
      <c r="C195" s="5" t="s">
        <v>27</v>
      </c>
      <c r="D195" s="5" t="s">
        <v>28</v>
      </c>
      <c r="E195" s="5" t="s">
        <v>29</v>
      </c>
      <c r="F195" s="5" t="s">
        <v>73</v>
      </c>
      <c r="G195" s="5" t="s">
        <v>56</v>
      </c>
      <c r="H195" s="5" t="s">
        <v>51</v>
      </c>
      <c r="I195" s="5">
        <v>161</v>
      </c>
      <c r="J195" s="5">
        <v>489</v>
      </c>
      <c r="K195" s="5">
        <v>686.96</v>
      </c>
      <c r="L195" s="5">
        <v>592</v>
      </c>
      <c r="M195" s="5">
        <v>138</v>
      </c>
      <c r="N195" s="5">
        <v>9</v>
      </c>
      <c r="O195" s="5" t="s">
        <v>24</v>
      </c>
      <c r="P195" s="5">
        <v>4646</v>
      </c>
      <c r="Q195" s="5" t="s">
        <v>40</v>
      </c>
      <c r="R195" s="2">
        <v>110600.56</v>
      </c>
      <c r="S195" s="2">
        <v>31871.56</v>
      </c>
      <c r="T195" s="1">
        <v>45765</v>
      </c>
      <c r="U195" s="5">
        <v>4</v>
      </c>
    </row>
    <row r="196" spans="1:21" x14ac:dyDescent="0.3">
      <c r="A196" s="5" t="s">
        <v>257</v>
      </c>
      <c r="B196" s="1">
        <v>45808</v>
      </c>
      <c r="C196" s="5" t="s">
        <v>35</v>
      </c>
      <c r="D196" s="5" t="s">
        <v>28</v>
      </c>
      <c r="E196" s="5" t="s">
        <v>20</v>
      </c>
      <c r="F196" s="5" t="s">
        <v>100</v>
      </c>
      <c r="G196" s="5" t="s">
        <v>56</v>
      </c>
      <c r="H196" s="5" t="s">
        <v>23</v>
      </c>
      <c r="I196" s="5">
        <v>288</v>
      </c>
      <c r="J196" s="5">
        <v>3313</v>
      </c>
      <c r="K196" s="5">
        <v>4961.96</v>
      </c>
      <c r="L196" s="5">
        <v>440</v>
      </c>
      <c r="M196" s="5">
        <v>126</v>
      </c>
      <c r="N196" s="5">
        <v>10</v>
      </c>
      <c r="O196" s="5" t="s">
        <v>24</v>
      </c>
      <c r="P196" s="5">
        <v>786</v>
      </c>
      <c r="Q196" s="5" t="s">
        <v>40</v>
      </c>
      <c r="R196" s="2">
        <v>1429044.48</v>
      </c>
      <c r="S196" s="2">
        <v>474900.47999999998</v>
      </c>
      <c r="T196" s="1">
        <v>45808</v>
      </c>
      <c r="U196" s="5">
        <v>5</v>
      </c>
    </row>
    <row r="197" spans="1:21" x14ac:dyDescent="0.3">
      <c r="A197" s="5" t="s">
        <v>258</v>
      </c>
      <c r="B197" s="1">
        <v>45694</v>
      </c>
      <c r="C197" s="5" t="s">
        <v>18</v>
      </c>
      <c r="D197" s="5" t="s">
        <v>62</v>
      </c>
      <c r="E197" s="5" t="s">
        <v>54</v>
      </c>
      <c r="F197" s="5" t="s">
        <v>63</v>
      </c>
      <c r="G197" s="5" t="s">
        <v>22</v>
      </c>
      <c r="H197" s="5" t="s">
        <v>23</v>
      </c>
      <c r="I197" s="5">
        <v>133</v>
      </c>
      <c r="J197" s="5">
        <v>1895</v>
      </c>
      <c r="K197" s="5">
        <v>2595.6</v>
      </c>
      <c r="L197" s="5">
        <v>107</v>
      </c>
      <c r="M197" s="5">
        <v>99</v>
      </c>
      <c r="N197" s="5">
        <v>4</v>
      </c>
      <c r="O197" s="5" t="s">
        <v>32</v>
      </c>
      <c r="P197" s="5">
        <v>1074</v>
      </c>
      <c r="Q197" s="5" t="s">
        <v>33</v>
      </c>
      <c r="R197" s="2">
        <v>345214.8</v>
      </c>
      <c r="S197" s="2">
        <v>93179.8</v>
      </c>
      <c r="T197" s="1">
        <v>45694</v>
      </c>
      <c r="U197" s="5">
        <v>2</v>
      </c>
    </row>
    <row r="198" spans="1:21" x14ac:dyDescent="0.3">
      <c r="A198" s="5" t="s">
        <v>259</v>
      </c>
      <c r="B198" s="1">
        <v>45869</v>
      </c>
      <c r="C198" s="5" t="s">
        <v>35</v>
      </c>
      <c r="D198" s="5" t="s">
        <v>36</v>
      </c>
      <c r="E198" s="5" t="s">
        <v>49</v>
      </c>
      <c r="F198" s="5" t="s">
        <v>94</v>
      </c>
      <c r="G198" s="5" t="s">
        <v>38</v>
      </c>
      <c r="H198" s="5" t="s">
        <v>23</v>
      </c>
      <c r="I198" s="5">
        <v>28</v>
      </c>
      <c r="J198" s="5">
        <v>3286</v>
      </c>
      <c r="K198" s="5">
        <v>3817.03</v>
      </c>
      <c r="L198" s="5">
        <v>1794</v>
      </c>
      <c r="M198" s="5">
        <v>89</v>
      </c>
      <c r="N198" s="5">
        <v>8</v>
      </c>
      <c r="O198" s="5" t="s">
        <v>24</v>
      </c>
      <c r="P198" s="5">
        <v>2656</v>
      </c>
      <c r="Q198" s="5" t="s">
        <v>46</v>
      </c>
      <c r="R198" s="2">
        <v>106876.84</v>
      </c>
      <c r="S198" s="2">
        <v>14868.84</v>
      </c>
      <c r="T198" s="1">
        <v>45869</v>
      </c>
      <c r="U198" s="5">
        <v>7</v>
      </c>
    </row>
    <row r="199" spans="1:21" x14ac:dyDescent="0.3">
      <c r="A199" s="5" t="s">
        <v>260</v>
      </c>
      <c r="B199" s="1">
        <v>45658</v>
      </c>
      <c r="C199" s="5" t="s">
        <v>27</v>
      </c>
      <c r="D199" s="5" t="s">
        <v>28</v>
      </c>
      <c r="E199" s="5" t="s">
        <v>49</v>
      </c>
      <c r="F199" s="5" t="s">
        <v>50</v>
      </c>
      <c r="G199" s="5" t="s">
        <v>22</v>
      </c>
      <c r="H199" s="5" t="s">
        <v>51</v>
      </c>
      <c r="I199" s="5">
        <v>482</v>
      </c>
      <c r="J199" s="5">
        <v>826</v>
      </c>
      <c r="K199" s="5">
        <v>1174.31</v>
      </c>
      <c r="L199" s="5">
        <v>1268</v>
      </c>
      <c r="M199" s="5">
        <v>140</v>
      </c>
      <c r="N199" s="5">
        <v>1</v>
      </c>
      <c r="O199" s="5" t="s">
        <v>32</v>
      </c>
      <c r="P199" s="5">
        <v>5112</v>
      </c>
      <c r="Q199" s="5" t="s">
        <v>25</v>
      </c>
      <c r="R199" s="2">
        <v>566017.42000000004</v>
      </c>
      <c r="S199" s="2">
        <v>167885.42</v>
      </c>
      <c r="T199" s="1">
        <v>45658</v>
      </c>
      <c r="U199" s="5">
        <v>1</v>
      </c>
    </row>
    <row r="200" spans="1:21" x14ac:dyDescent="0.3">
      <c r="A200" s="5" t="s">
        <v>261</v>
      </c>
      <c r="B200" s="1">
        <v>45865</v>
      </c>
      <c r="C200" s="5" t="s">
        <v>27</v>
      </c>
      <c r="D200" s="5" t="s">
        <v>19</v>
      </c>
      <c r="E200" s="5" t="s">
        <v>20</v>
      </c>
      <c r="F200" s="5" t="s">
        <v>21</v>
      </c>
      <c r="G200" s="5" t="s">
        <v>56</v>
      </c>
      <c r="H200" s="5" t="s">
        <v>23</v>
      </c>
      <c r="I200" s="5">
        <v>44</v>
      </c>
      <c r="J200" s="5">
        <v>1664</v>
      </c>
      <c r="K200" s="5">
        <v>1963.8</v>
      </c>
      <c r="L200" s="5">
        <v>1468</v>
      </c>
      <c r="M200" s="5">
        <v>102</v>
      </c>
      <c r="N200" s="5">
        <v>5</v>
      </c>
      <c r="O200" s="5" t="s">
        <v>32</v>
      </c>
      <c r="P200" s="5">
        <v>5508</v>
      </c>
      <c r="Q200" s="5" t="s">
        <v>33</v>
      </c>
      <c r="R200" s="2">
        <v>86407.2</v>
      </c>
      <c r="S200" s="2">
        <v>13191.2</v>
      </c>
      <c r="T200" s="1">
        <v>45865</v>
      </c>
      <c r="U200" s="5">
        <v>7</v>
      </c>
    </row>
    <row r="201" spans="1:21" x14ac:dyDescent="0.3">
      <c r="A201" s="5" t="s">
        <v>262</v>
      </c>
      <c r="B201" s="1">
        <v>45807</v>
      </c>
      <c r="C201" s="5" t="s">
        <v>42</v>
      </c>
      <c r="D201" s="5" t="s">
        <v>28</v>
      </c>
      <c r="E201" s="5" t="s">
        <v>20</v>
      </c>
      <c r="F201" s="5" t="s">
        <v>45</v>
      </c>
      <c r="G201" s="5" t="s">
        <v>56</v>
      </c>
      <c r="H201" s="5" t="s">
        <v>39</v>
      </c>
      <c r="I201" s="5">
        <v>445</v>
      </c>
      <c r="J201" s="5">
        <v>796</v>
      </c>
      <c r="K201" s="5">
        <v>995.78</v>
      </c>
      <c r="L201" s="5">
        <v>1220</v>
      </c>
      <c r="M201" s="5">
        <v>147</v>
      </c>
      <c r="N201" s="5">
        <v>1</v>
      </c>
      <c r="O201" s="5" t="s">
        <v>32</v>
      </c>
      <c r="P201" s="5">
        <v>3581</v>
      </c>
      <c r="Q201" s="5" t="s">
        <v>33</v>
      </c>
      <c r="R201" s="2">
        <v>443122.1</v>
      </c>
      <c r="S201" s="2">
        <v>88902.1</v>
      </c>
      <c r="T201" s="1">
        <v>45807</v>
      </c>
      <c r="U201" s="5">
        <v>5</v>
      </c>
    </row>
    <row r="202" spans="1:21" x14ac:dyDescent="0.3">
      <c r="A202" s="5" t="s">
        <v>263</v>
      </c>
      <c r="B202" s="1">
        <v>45663</v>
      </c>
      <c r="C202" s="5" t="s">
        <v>27</v>
      </c>
      <c r="D202" s="5" t="s">
        <v>62</v>
      </c>
      <c r="E202" s="5" t="s">
        <v>20</v>
      </c>
      <c r="F202" s="5" t="s">
        <v>37</v>
      </c>
      <c r="G202" s="5" t="s">
        <v>38</v>
      </c>
      <c r="H202" s="5" t="s">
        <v>39</v>
      </c>
      <c r="I202" s="5">
        <v>499</v>
      </c>
      <c r="J202" s="5">
        <v>1053</v>
      </c>
      <c r="K202" s="5">
        <v>1519.41</v>
      </c>
      <c r="L202" s="5">
        <v>782</v>
      </c>
      <c r="M202" s="5">
        <v>290</v>
      </c>
      <c r="N202" s="5">
        <v>2</v>
      </c>
      <c r="O202" s="5" t="s">
        <v>24</v>
      </c>
      <c r="P202" s="5">
        <v>1826</v>
      </c>
      <c r="Q202" s="5" t="s">
        <v>25</v>
      </c>
      <c r="R202" s="2">
        <v>758185.59</v>
      </c>
      <c r="S202" s="2">
        <v>232738.59</v>
      </c>
      <c r="T202" s="1">
        <v>45663</v>
      </c>
      <c r="U202" s="5">
        <v>1</v>
      </c>
    </row>
    <row r="203" spans="1:21" x14ac:dyDescent="0.3">
      <c r="A203" s="5" t="s">
        <v>264</v>
      </c>
      <c r="B203" s="1">
        <v>45714</v>
      </c>
      <c r="C203" s="5" t="s">
        <v>18</v>
      </c>
      <c r="D203" s="5" t="s">
        <v>53</v>
      </c>
      <c r="E203" s="5" t="s">
        <v>29</v>
      </c>
      <c r="F203" s="5" t="s">
        <v>69</v>
      </c>
      <c r="G203" s="5" t="s">
        <v>22</v>
      </c>
      <c r="H203" s="5" t="s">
        <v>39</v>
      </c>
      <c r="I203" s="5">
        <v>90</v>
      </c>
      <c r="J203" s="5">
        <v>1980</v>
      </c>
      <c r="K203" s="5">
        <v>2824.83</v>
      </c>
      <c r="L203" s="5">
        <v>727</v>
      </c>
      <c r="M203" s="5">
        <v>299</v>
      </c>
      <c r="N203" s="5">
        <v>7</v>
      </c>
      <c r="O203" s="5" t="s">
        <v>24</v>
      </c>
      <c r="P203" s="5">
        <v>2705</v>
      </c>
      <c r="Q203" s="5" t="s">
        <v>33</v>
      </c>
      <c r="R203" s="2">
        <v>254234.7</v>
      </c>
      <c r="S203" s="2">
        <v>76034.7</v>
      </c>
      <c r="T203" s="1">
        <v>45714</v>
      </c>
      <c r="U203" s="5">
        <v>2</v>
      </c>
    </row>
    <row r="204" spans="1:21" x14ac:dyDescent="0.3">
      <c r="A204" s="5" t="s">
        <v>265</v>
      </c>
      <c r="B204" s="1">
        <v>46021</v>
      </c>
      <c r="C204" s="5" t="s">
        <v>35</v>
      </c>
      <c r="D204" s="5" t="s">
        <v>53</v>
      </c>
      <c r="E204" s="5" t="s">
        <v>29</v>
      </c>
      <c r="F204" s="5" t="s">
        <v>30</v>
      </c>
      <c r="G204" s="5" t="s">
        <v>22</v>
      </c>
      <c r="H204" s="5" t="s">
        <v>51</v>
      </c>
      <c r="I204" s="5">
        <v>254</v>
      </c>
      <c r="J204" s="5">
        <v>3497</v>
      </c>
      <c r="K204" s="5">
        <v>5235.8599999999997</v>
      </c>
      <c r="L204" s="5">
        <v>466</v>
      </c>
      <c r="M204" s="5">
        <v>252</v>
      </c>
      <c r="N204" s="5">
        <v>8</v>
      </c>
      <c r="O204" s="5" t="s">
        <v>24</v>
      </c>
      <c r="P204" s="5">
        <v>3283</v>
      </c>
      <c r="Q204" s="5" t="s">
        <v>46</v>
      </c>
      <c r="R204" s="2">
        <v>1329908.44</v>
      </c>
      <c r="S204" s="2">
        <v>441670.44</v>
      </c>
      <c r="T204" s="1">
        <v>46021</v>
      </c>
      <c r="U204" s="5">
        <v>12</v>
      </c>
    </row>
    <row r="205" spans="1:21" x14ac:dyDescent="0.3">
      <c r="A205" s="5" t="s">
        <v>266</v>
      </c>
      <c r="B205" s="1">
        <v>45860</v>
      </c>
      <c r="C205" s="5" t="s">
        <v>18</v>
      </c>
      <c r="D205" s="5" t="s">
        <v>53</v>
      </c>
      <c r="E205" s="5" t="s">
        <v>54</v>
      </c>
      <c r="F205" s="5" t="s">
        <v>81</v>
      </c>
      <c r="G205" s="5" t="s">
        <v>31</v>
      </c>
      <c r="H205" s="5" t="s">
        <v>39</v>
      </c>
      <c r="I205" s="5">
        <v>287</v>
      </c>
      <c r="J205" s="5">
        <v>2064</v>
      </c>
      <c r="K205" s="5">
        <v>3055.22</v>
      </c>
      <c r="L205" s="5">
        <v>1576</v>
      </c>
      <c r="M205" s="5">
        <v>281</v>
      </c>
      <c r="N205" s="5">
        <v>7</v>
      </c>
      <c r="O205" s="5" t="s">
        <v>24</v>
      </c>
      <c r="P205" s="5">
        <v>7127</v>
      </c>
      <c r="Q205" s="5" t="s">
        <v>40</v>
      </c>
      <c r="R205" s="2">
        <v>876848.14</v>
      </c>
      <c r="S205" s="2">
        <v>284480.14</v>
      </c>
      <c r="T205" s="1">
        <v>45860</v>
      </c>
      <c r="U205" s="5">
        <v>7</v>
      </c>
    </row>
    <row r="206" spans="1:21" x14ac:dyDescent="0.3">
      <c r="A206" s="5" t="s">
        <v>267</v>
      </c>
      <c r="B206" s="1">
        <v>45703</v>
      </c>
      <c r="C206" s="5" t="s">
        <v>42</v>
      </c>
      <c r="D206" s="5" t="s">
        <v>53</v>
      </c>
      <c r="E206" s="5" t="s">
        <v>54</v>
      </c>
      <c r="F206" s="5" t="s">
        <v>87</v>
      </c>
      <c r="G206" s="5" t="s">
        <v>56</v>
      </c>
      <c r="H206" s="5" t="s">
        <v>23</v>
      </c>
      <c r="I206" s="5">
        <v>408</v>
      </c>
      <c r="J206" s="5">
        <v>292</v>
      </c>
      <c r="K206" s="5">
        <v>385.41</v>
      </c>
      <c r="L206" s="5">
        <v>402</v>
      </c>
      <c r="M206" s="5">
        <v>296</v>
      </c>
      <c r="N206" s="5">
        <v>9</v>
      </c>
      <c r="O206" s="5" t="s">
        <v>24</v>
      </c>
      <c r="P206" s="5">
        <v>3595</v>
      </c>
      <c r="Q206" s="5" t="s">
        <v>33</v>
      </c>
      <c r="R206" s="2">
        <v>157247.28</v>
      </c>
      <c r="S206" s="2">
        <v>38111.279999999999</v>
      </c>
      <c r="T206" s="1">
        <v>45703</v>
      </c>
      <c r="U206" s="5">
        <v>2</v>
      </c>
    </row>
    <row r="207" spans="1:21" x14ac:dyDescent="0.3">
      <c r="A207" s="5" t="s">
        <v>268</v>
      </c>
      <c r="B207" s="1">
        <v>45763</v>
      </c>
      <c r="C207" s="5" t="s">
        <v>27</v>
      </c>
      <c r="D207" s="5" t="s">
        <v>62</v>
      </c>
      <c r="E207" s="5" t="s">
        <v>29</v>
      </c>
      <c r="F207" s="5" t="s">
        <v>43</v>
      </c>
      <c r="G207" s="5" t="s">
        <v>31</v>
      </c>
      <c r="H207" s="5" t="s">
        <v>51</v>
      </c>
      <c r="I207" s="5">
        <v>480</v>
      </c>
      <c r="J207" s="5">
        <v>2669</v>
      </c>
      <c r="K207" s="5">
        <v>3212.93</v>
      </c>
      <c r="L207" s="5">
        <v>1602</v>
      </c>
      <c r="M207" s="5">
        <v>194</v>
      </c>
      <c r="N207" s="5">
        <v>5</v>
      </c>
      <c r="O207" s="5" t="s">
        <v>24</v>
      </c>
      <c r="P207" s="5">
        <v>3654</v>
      </c>
      <c r="Q207" s="5" t="s">
        <v>40</v>
      </c>
      <c r="R207" s="2">
        <v>1542206.4</v>
      </c>
      <c r="S207" s="2">
        <v>261086.4</v>
      </c>
      <c r="T207" s="1">
        <v>45763</v>
      </c>
      <c r="U207" s="5">
        <v>4</v>
      </c>
    </row>
    <row r="208" spans="1:21" x14ac:dyDescent="0.3">
      <c r="A208" s="5" t="s">
        <v>269</v>
      </c>
      <c r="B208" s="1">
        <v>45753</v>
      </c>
      <c r="C208" s="5" t="s">
        <v>27</v>
      </c>
      <c r="D208" s="5" t="s">
        <v>36</v>
      </c>
      <c r="E208" s="5" t="s">
        <v>29</v>
      </c>
      <c r="F208" s="5" t="s">
        <v>58</v>
      </c>
      <c r="G208" s="5" t="s">
        <v>31</v>
      </c>
      <c r="H208" s="5" t="s">
        <v>51</v>
      </c>
      <c r="I208" s="5">
        <v>131</v>
      </c>
      <c r="J208" s="5">
        <v>1181</v>
      </c>
      <c r="K208" s="5">
        <v>1616.6</v>
      </c>
      <c r="L208" s="5">
        <v>1883</v>
      </c>
      <c r="M208" s="5">
        <v>208</v>
      </c>
      <c r="N208" s="5">
        <v>8</v>
      </c>
      <c r="O208" s="5" t="s">
        <v>24</v>
      </c>
      <c r="P208" s="5">
        <v>2813</v>
      </c>
      <c r="Q208" s="5" t="s">
        <v>25</v>
      </c>
      <c r="R208" s="2">
        <v>211774.6</v>
      </c>
      <c r="S208" s="2">
        <v>57063.6</v>
      </c>
      <c r="T208" s="1">
        <v>45753</v>
      </c>
      <c r="U208" s="5">
        <v>4</v>
      </c>
    </row>
    <row r="209" spans="1:21" x14ac:dyDescent="0.3">
      <c r="A209" s="5" t="s">
        <v>270</v>
      </c>
      <c r="B209" s="1">
        <v>45914</v>
      </c>
      <c r="C209" s="5" t="s">
        <v>35</v>
      </c>
      <c r="D209" s="5" t="s">
        <v>62</v>
      </c>
      <c r="E209" s="5" t="s">
        <v>20</v>
      </c>
      <c r="F209" s="5" t="s">
        <v>45</v>
      </c>
      <c r="G209" s="5" t="s">
        <v>56</v>
      </c>
      <c r="H209" s="5" t="s">
        <v>51</v>
      </c>
      <c r="I209" s="5">
        <v>48</v>
      </c>
      <c r="J209" s="5">
        <v>1631</v>
      </c>
      <c r="K209" s="5">
        <v>2088.2600000000002</v>
      </c>
      <c r="L209" s="5">
        <v>498</v>
      </c>
      <c r="M209" s="5">
        <v>211</v>
      </c>
      <c r="N209" s="5">
        <v>5</v>
      </c>
      <c r="O209" s="5" t="s">
        <v>32</v>
      </c>
      <c r="P209" s="5">
        <v>1325</v>
      </c>
      <c r="Q209" s="5" t="s">
        <v>33</v>
      </c>
      <c r="R209" s="2">
        <v>100236.48</v>
      </c>
      <c r="S209" s="2">
        <v>21948.48</v>
      </c>
      <c r="T209" s="1">
        <v>45914</v>
      </c>
      <c r="U209" s="5">
        <v>9</v>
      </c>
    </row>
    <row r="210" spans="1:21" x14ac:dyDescent="0.3">
      <c r="A210" s="5" t="s">
        <v>271</v>
      </c>
      <c r="B210" s="1">
        <v>45818</v>
      </c>
      <c r="C210" s="5" t="s">
        <v>27</v>
      </c>
      <c r="D210" s="5" t="s">
        <v>36</v>
      </c>
      <c r="E210" s="5" t="s">
        <v>29</v>
      </c>
      <c r="F210" s="5" t="s">
        <v>43</v>
      </c>
      <c r="G210" s="5" t="s">
        <v>38</v>
      </c>
      <c r="H210" s="5" t="s">
        <v>39</v>
      </c>
      <c r="I210" s="5">
        <v>14</v>
      </c>
      <c r="J210" s="5">
        <v>1943</v>
      </c>
      <c r="K210" s="5">
        <v>2868.99</v>
      </c>
      <c r="L210" s="5">
        <v>1751</v>
      </c>
      <c r="M210" s="5">
        <v>143</v>
      </c>
      <c r="N210" s="5">
        <v>3</v>
      </c>
      <c r="O210" s="5" t="s">
        <v>32</v>
      </c>
      <c r="P210" s="5">
        <v>7226</v>
      </c>
      <c r="Q210" s="5" t="s">
        <v>33</v>
      </c>
      <c r="R210" s="2">
        <v>40165.86</v>
      </c>
      <c r="S210" s="2">
        <v>12963.86</v>
      </c>
      <c r="T210" s="1">
        <v>45818</v>
      </c>
      <c r="U210" s="5">
        <v>6</v>
      </c>
    </row>
    <row r="211" spans="1:21" x14ac:dyDescent="0.3">
      <c r="A211" s="5" t="s">
        <v>272</v>
      </c>
      <c r="B211" s="1">
        <v>45775</v>
      </c>
      <c r="C211" s="5" t="s">
        <v>18</v>
      </c>
      <c r="D211" s="5" t="s">
        <v>19</v>
      </c>
      <c r="E211" s="5" t="s">
        <v>54</v>
      </c>
      <c r="F211" s="5" t="s">
        <v>81</v>
      </c>
      <c r="G211" s="5" t="s">
        <v>56</v>
      </c>
      <c r="H211" s="5" t="s">
        <v>51</v>
      </c>
      <c r="I211" s="5">
        <v>413</v>
      </c>
      <c r="J211" s="5">
        <v>2270</v>
      </c>
      <c r="K211" s="5">
        <v>3002.26</v>
      </c>
      <c r="L211" s="5">
        <v>1186</v>
      </c>
      <c r="M211" s="5">
        <v>91</v>
      </c>
      <c r="N211" s="5">
        <v>5</v>
      </c>
      <c r="O211" s="5" t="s">
        <v>32</v>
      </c>
      <c r="P211" s="5">
        <v>3291</v>
      </c>
      <c r="Q211" s="5" t="s">
        <v>33</v>
      </c>
      <c r="R211" s="2">
        <v>1239933.3799999999</v>
      </c>
      <c r="S211" s="2">
        <v>302423.38</v>
      </c>
      <c r="T211" s="1">
        <v>45775</v>
      </c>
      <c r="U211" s="5">
        <v>4</v>
      </c>
    </row>
    <row r="212" spans="1:21" x14ac:dyDescent="0.3">
      <c r="A212" s="5" t="s">
        <v>273</v>
      </c>
      <c r="B212" s="1">
        <v>45987</v>
      </c>
      <c r="C212" s="5" t="s">
        <v>35</v>
      </c>
      <c r="D212" s="5" t="s">
        <v>53</v>
      </c>
      <c r="E212" s="5" t="s">
        <v>29</v>
      </c>
      <c r="F212" s="5" t="s">
        <v>43</v>
      </c>
      <c r="G212" s="5" t="s">
        <v>56</v>
      </c>
      <c r="H212" s="5" t="s">
        <v>51</v>
      </c>
      <c r="I212" s="5">
        <v>14</v>
      </c>
      <c r="J212" s="5">
        <v>479</v>
      </c>
      <c r="K212" s="5">
        <v>608.32000000000005</v>
      </c>
      <c r="L212" s="5">
        <v>826</v>
      </c>
      <c r="M212" s="5">
        <v>101</v>
      </c>
      <c r="N212" s="5">
        <v>9</v>
      </c>
      <c r="O212" s="5" t="s">
        <v>24</v>
      </c>
      <c r="P212" s="5">
        <v>5972</v>
      </c>
      <c r="Q212" s="5" t="s">
        <v>33</v>
      </c>
      <c r="R212" s="2">
        <v>8516.48</v>
      </c>
      <c r="S212" s="2">
        <v>1810.48</v>
      </c>
      <c r="T212" s="1">
        <v>45987</v>
      </c>
      <c r="U212" s="5">
        <v>11</v>
      </c>
    </row>
    <row r="213" spans="1:21" x14ac:dyDescent="0.3">
      <c r="A213" s="5" t="s">
        <v>274</v>
      </c>
      <c r="B213" s="1">
        <v>45895</v>
      </c>
      <c r="C213" s="5" t="s">
        <v>27</v>
      </c>
      <c r="D213" s="5" t="s">
        <v>36</v>
      </c>
      <c r="E213" s="5" t="s">
        <v>54</v>
      </c>
      <c r="F213" s="5" t="s">
        <v>81</v>
      </c>
      <c r="G213" s="5" t="s">
        <v>22</v>
      </c>
      <c r="H213" s="5" t="s">
        <v>23</v>
      </c>
      <c r="I213" s="5">
        <v>496</v>
      </c>
      <c r="J213" s="5">
        <v>1375</v>
      </c>
      <c r="K213" s="5">
        <v>1889.27</v>
      </c>
      <c r="L213" s="5">
        <v>1549</v>
      </c>
      <c r="M213" s="5">
        <v>250</v>
      </c>
      <c r="N213" s="5">
        <v>8</v>
      </c>
      <c r="O213" s="5" t="s">
        <v>24</v>
      </c>
      <c r="P213" s="5">
        <v>1242</v>
      </c>
      <c r="Q213" s="5" t="s">
        <v>25</v>
      </c>
      <c r="R213" s="2">
        <v>937077.92</v>
      </c>
      <c r="S213" s="2">
        <v>255077.92</v>
      </c>
      <c r="T213" s="1">
        <v>45895</v>
      </c>
      <c r="U213" s="5">
        <v>8</v>
      </c>
    </row>
    <row r="214" spans="1:21" x14ac:dyDescent="0.3">
      <c r="A214" s="5" t="s">
        <v>275</v>
      </c>
      <c r="B214" s="1">
        <v>45923</v>
      </c>
      <c r="C214" s="5" t="s">
        <v>18</v>
      </c>
      <c r="D214" s="5" t="s">
        <v>53</v>
      </c>
      <c r="E214" s="5" t="s">
        <v>54</v>
      </c>
      <c r="F214" s="5" t="s">
        <v>55</v>
      </c>
      <c r="G214" s="5" t="s">
        <v>38</v>
      </c>
      <c r="H214" s="5" t="s">
        <v>39</v>
      </c>
      <c r="I214" s="5">
        <v>498</v>
      </c>
      <c r="J214" s="5">
        <v>2686</v>
      </c>
      <c r="K214" s="5">
        <v>3574.19</v>
      </c>
      <c r="L214" s="5">
        <v>1849</v>
      </c>
      <c r="M214" s="5">
        <v>235</v>
      </c>
      <c r="N214" s="5">
        <v>4</v>
      </c>
      <c r="O214" s="5" t="s">
        <v>24</v>
      </c>
      <c r="P214" s="5">
        <v>3688</v>
      </c>
      <c r="Q214" s="5" t="s">
        <v>33</v>
      </c>
      <c r="R214" s="2">
        <v>1779946.62</v>
      </c>
      <c r="S214" s="2">
        <v>442318.62</v>
      </c>
      <c r="T214" s="1">
        <v>45923</v>
      </c>
      <c r="U214" s="5">
        <v>9</v>
      </c>
    </row>
    <row r="215" spans="1:21" x14ac:dyDescent="0.3">
      <c r="A215" s="5" t="s">
        <v>276</v>
      </c>
      <c r="B215" s="1">
        <v>45827</v>
      </c>
      <c r="C215" s="5" t="s">
        <v>18</v>
      </c>
      <c r="D215" s="5" t="s">
        <v>36</v>
      </c>
      <c r="E215" s="5" t="s">
        <v>49</v>
      </c>
      <c r="F215" s="5" t="s">
        <v>89</v>
      </c>
      <c r="G215" s="5" t="s">
        <v>56</v>
      </c>
      <c r="H215" s="5" t="s">
        <v>23</v>
      </c>
      <c r="I215" s="5">
        <v>79</v>
      </c>
      <c r="J215" s="5">
        <v>978</v>
      </c>
      <c r="K215" s="5">
        <v>1225.3900000000001</v>
      </c>
      <c r="L215" s="5">
        <v>661</v>
      </c>
      <c r="M215" s="5">
        <v>262</v>
      </c>
      <c r="N215" s="5">
        <v>2</v>
      </c>
      <c r="O215" s="5" t="s">
        <v>32</v>
      </c>
      <c r="P215" s="5">
        <v>7410</v>
      </c>
      <c r="Q215" s="5" t="s">
        <v>33</v>
      </c>
      <c r="R215" s="2">
        <v>96805.81</v>
      </c>
      <c r="S215" s="2">
        <v>19543.810000000001</v>
      </c>
      <c r="T215" s="1">
        <v>45827</v>
      </c>
      <c r="U215" s="5">
        <v>6</v>
      </c>
    </row>
    <row r="216" spans="1:21" x14ac:dyDescent="0.3">
      <c r="A216" s="5" t="s">
        <v>277</v>
      </c>
      <c r="B216" s="1">
        <v>45907</v>
      </c>
      <c r="C216" s="5" t="s">
        <v>27</v>
      </c>
      <c r="D216" s="5" t="s">
        <v>36</v>
      </c>
      <c r="E216" s="5" t="s">
        <v>49</v>
      </c>
      <c r="F216" s="5" t="s">
        <v>65</v>
      </c>
      <c r="G216" s="5" t="s">
        <v>31</v>
      </c>
      <c r="H216" s="5" t="s">
        <v>23</v>
      </c>
      <c r="I216" s="5">
        <v>407</v>
      </c>
      <c r="J216" s="5">
        <v>1479</v>
      </c>
      <c r="K216" s="5">
        <v>1913.31</v>
      </c>
      <c r="L216" s="5">
        <v>789</v>
      </c>
      <c r="M216" s="5">
        <v>137</v>
      </c>
      <c r="N216" s="5">
        <v>6</v>
      </c>
      <c r="O216" s="5" t="s">
        <v>24</v>
      </c>
      <c r="P216" s="5">
        <v>5283</v>
      </c>
      <c r="Q216" s="5" t="s">
        <v>33</v>
      </c>
      <c r="R216" s="2">
        <v>778717.17</v>
      </c>
      <c r="S216" s="2">
        <v>176764.17</v>
      </c>
      <c r="T216" s="1">
        <v>45907</v>
      </c>
      <c r="U216" s="5">
        <v>9</v>
      </c>
    </row>
    <row r="217" spans="1:21" x14ac:dyDescent="0.3">
      <c r="A217" s="5" t="s">
        <v>278</v>
      </c>
      <c r="B217" s="1">
        <v>45892</v>
      </c>
      <c r="C217" s="5" t="s">
        <v>18</v>
      </c>
      <c r="D217" s="5" t="s">
        <v>19</v>
      </c>
      <c r="E217" s="5" t="s">
        <v>49</v>
      </c>
      <c r="F217" s="5" t="s">
        <v>89</v>
      </c>
      <c r="G217" s="5" t="s">
        <v>31</v>
      </c>
      <c r="H217" s="5" t="s">
        <v>23</v>
      </c>
      <c r="I217" s="5">
        <v>19</v>
      </c>
      <c r="J217" s="5">
        <v>3300</v>
      </c>
      <c r="K217" s="5">
        <v>4577.95</v>
      </c>
      <c r="L217" s="5">
        <v>1697</v>
      </c>
      <c r="M217" s="5">
        <v>183</v>
      </c>
      <c r="N217" s="5">
        <v>9</v>
      </c>
      <c r="O217" s="5" t="s">
        <v>24</v>
      </c>
      <c r="P217" s="5">
        <v>2157</v>
      </c>
      <c r="Q217" s="5" t="s">
        <v>25</v>
      </c>
      <c r="R217" s="2">
        <v>86981.05</v>
      </c>
      <c r="S217" s="2">
        <v>24281.05</v>
      </c>
      <c r="T217" s="1">
        <v>45892</v>
      </c>
      <c r="U217" s="5">
        <v>8</v>
      </c>
    </row>
    <row r="218" spans="1:21" x14ac:dyDescent="0.3">
      <c r="A218" s="5" t="s">
        <v>279</v>
      </c>
      <c r="B218" s="1">
        <v>45735</v>
      </c>
      <c r="C218" s="5" t="s">
        <v>18</v>
      </c>
      <c r="D218" s="5" t="s">
        <v>53</v>
      </c>
      <c r="E218" s="5" t="s">
        <v>20</v>
      </c>
      <c r="F218" s="5" t="s">
        <v>100</v>
      </c>
      <c r="G218" s="5" t="s">
        <v>22</v>
      </c>
      <c r="H218" s="5" t="s">
        <v>23</v>
      </c>
      <c r="I218" s="5">
        <v>259</v>
      </c>
      <c r="J218" s="5">
        <v>3339</v>
      </c>
      <c r="K218" s="5">
        <v>4978.08</v>
      </c>
      <c r="L218" s="5">
        <v>113</v>
      </c>
      <c r="M218" s="5">
        <v>154</v>
      </c>
      <c r="N218" s="5">
        <v>3</v>
      </c>
      <c r="O218" s="5" t="s">
        <v>32</v>
      </c>
      <c r="P218" s="5">
        <v>3052</v>
      </c>
      <c r="Q218" s="5" t="s">
        <v>33</v>
      </c>
      <c r="R218" s="2">
        <v>1289322.72</v>
      </c>
      <c r="S218" s="2">
        <v>424521.72</v>
      </c>
      <c r="T218" s="1">
        <v>45735</v>
      </c>
      <c r="U218" s="5">
        <v>3</v>
      </c>
    </row>
    <row r="219" spans="1:21" x14ac:dyDescent="0.3">
      <c r="A219" s="5" t="s">
        <v>280</v>
      </c>
      <c r="B219" s="1">
        <v>45734</v>
      </c>
      <c r="C219" s="5" t="s">
        <v>18</v>
      </c>
      <c r="D219" s="5" t="s">
        <v>19</v>
      </c>
      <c r="E219" s="5" t="s">
        <v>49</v>
      </c>
      <c r="F219" s="5" t="s">
        <v>94</v>
      </c>
      <c r="G219" s="5" t="s">
        <v>22</v>
      </c>
      <c r="H219" s="5" t="s">
        <v>51</v>
      </c>
      <c r="I219" s="5">
        <v>34</v>
      </c>
      <c r="J219" s="5">
        <v>3854</v>
      </c>
      <c r="K219" s="5">
        <v>4789.6099999999997</v>
      </c>
      <c r="L219" s="5">
        <v>472</v>
      </c>
      <c r="M219" s="5">
        <v>93</v>
      </c>
      <c r="N219" s="5">
        <v>9</v>
      </c>
      <c r="O219" s="5" t="s">
        <v>24</v>
      </c>
      <c r="P219" s="5">
        <v>784</v>
      </c>
      <c r="Q219" s="5" t="s">
        <v>46</v>
      </c>
      <c r="R219" s="2">
        <v>162846.74</v>
      </c>
      <c r="S219" s="2">
        <v>31810.74</v>
      </c>
      <c r="T219" s="1">
        <v>45734</v>
      </c>
      <c r="U219" s="5">
        <v>3</v>
      </c>
    </row>
    <row r="220" spans="1:21" x14ac:dyDescent="0.3">
      <c r="A220" s="5" t="s">
        <v>281</v>
      </c>
      <c r="B220" s="1">
        <v>45821</v>
      </c>
      <c r="C220" s="5" t="s">
        <v>18</v>
      </c>
      <c r="D220" s="5" t="s">
        <v>62</v>
      </c>
      <c r="E220" s="5" t="s">
        <v>29</v>
      </c>
      <c r="F220" s="5" t="s">
        <v>43</v>
      </c>
      <c r="G220" s="5" t="s">
        <v>22</v>
      </c>
      <c r="H220" s="5" t="s">
        <v>51</v>
      </c>
      <c r="I220" s="5">
        <v>249</v>
      </c>
      <c r="J220" s="5">
        <v>1841</v>
      </c>
      <c r="K220" s="5">
        <v>2315.42</v>
      </c>
      <c r="L220" s="5">
        <v>1726</v>
      </c>
      <c r="M220" s="5">
        <v>152</v>
      </c>
      <c r="N220" s="5">
        <v>3</v>
      </c>
      <c r="O220" s="5" t="s">
        <v>24</v>
      </c>
      <c r="P220" s="5">
        <v>6103</v>
      </c>
      <c r="Q220" s="5" t="s">
        <v>25</v>
      </c>
      <c r="R220" s="2">
        <v>576539.57999999996</v>
      </c>
      <c r="S220" s="2">
        <v>118130.58</v>
      </c>
      <c r="T220" s="1">
        <v>45821</v>
      </c>
      <c r="U220" s="5">
        <v>6</v>
      </c>
    </row>
    <row r="221" spans="1:21" x14ac:dyDescent="0.3">
      <c r="A221" s="5" t="s">
        <v>282</v>
      </c>
      <c r="B221" s="1">
        <v>45925</v>
      </c>
      <c r="C221" s="5" t="s">
        <v>42</v>
      </c>
      <c r="D221" s="5" t="s">
        <v>62</v>
      </c>
      <c r="E221" s="5" t="s">
        <v>29</v>
      </c>
      <c r="F221" s="5" t="s">
        <v>73</v>
      </c>
      <c r="G221" s="5" t="s">
        <v>56</v>
      </c>
      <c r="H221" s="5" t="s">
        <v>39</v>
      </c>
      <c r="I221" s="5">
        <v>278</v>
      </c>
      <c r="J221" s="5">
        <v>3238</v>
      </c>
      <c r="K221" s="5">
        <v>4845.92</v>
      </c>
      <c r="L221" s="5">
        <v>1864</v>
      </c>
      <c r="M221" s="5">
        <v>86</v>
      </c>
      <c r="N221" s="5">
        <v>9</v>
      </c>
      <c r="O221" s="5" t="s">
        <v>24</v>
      </c>
      <c r="P221" s="5">
        <v>1425</v>
      </c>
      <c r="Q221" s="5" t="s">
        <v>25</v>
      </c>
      <c r="R221" s="2">
        <v>1347165.76</v>
      </c>
      <c r="S221" s="2">
        <v>447001.76</v>
      </c>
      <c r="T221" s="1">
        <v>45925</v>
      </c>
      <c r="U221" s="5">
        <v>9</v>
      </c>
    </row>
    <row r="222" spans="1:21" x14ac:dyDescent="0.3">
      <c r="A222" s="5" t="s">
        <v>283</v>
      </c>
      <c r="B222" s="1">
        <v>45677</v>
      </c>
      <c r="C222" s="5" t="s">
        <v>42</v>
      </c>
      <c r="D222" s="5" t="s">
        <v>36</v>
      </c>
      <c r="E222" s="5" t="s">
        <v>49</v>
      </c>
      <c r="F222" s="5" t="s">
        <v>65</v>
      </c>
      <c r="G222" s="5" t="s">
        <v>31</v>
      </c>
      <c r="H222" s="5" t="s">
        <v>51</v>
      </c>
      <c r="I222" s="5">
        <v>118</v>
      </c>
      <c r="J222" s="5">
        <v>4557</v>
      </c>
      <c r="K222" s="5">
        <v>6039.82</v>
      </c>
      <c r="L222" s="5">
        <v>1513</v>
      </c>
      <c r="M222" s="5">
        <v>164</v>
      </c>
      <c r="N222" s="5">
        <v>2</v>
      </c>
      <c r="O222" s="5" t="s">
        <v>24</v>
      </c>
      <c r="P222" s="5">
        <v>2853</v>
      </c>
      <c r="Q222" s="5" t="s">
        <v>33</v>
      </c>
      <c r="R222" s="2">
        <v>712698.76</v>
      </c>
      <c r="S222" s="2">
        <v>174972.76</v>
      </c>
      <c r="T222" s="1">
        <v>45677</v>
      </c>
      <c r="U222" s="5">
        <v>1</v>
      </c>
    </row>
    <row r="223" spans="1:21" x14ac:dyDescent="0.3">
      <c r="A223" s="5" t="s">
        <v>284</v>
      </c>
      <c r="B223" s="1">
        <v>45989</v>
      </c>
      <c r="C223" s="5" t="s">
        <v>42</v>
      </c>
      <c r="D223" s="5" t="s">
        <v>28</v>
      </c>
      <c r="E223" s="5" t="s">
        <v>54</v>
      </c>
      <c r="F223" s="5" t="s">
        <v>78</v>
      </c>
      <c r="G223" s="5" t="s">
        <v>38</v>
      </c>
      <c r="H223" s="5" t="s">
        <v>39</v>
      </c>
      <c r="I223" s="5">
        <v>219</v>
      </c>
      <c r="J223" s="5">
        <v>922</v>
      </c>
      <c r="K223" s="5">
        <v>1269.81</v>
      </c>
      <c r="L223" s="5">
        <v>1850</v>
      </c>
      <c r="M223" s="5">
        <v>287</v>
      </c>
      <c r="N223" s="5">
        <v>1</v>
      </c>
      <c r="O223" s="5" t="s">
        <v>32</v>
      </c>
      <c r="P223" s="5">
        <v>4194</v>
      </c>
      <c r="Q223" s="5" t="s">
        <v>33</v>
      </c>
      <c r="R223" s="2">
        <v>278088.39</v>
      </c>
      <c r="S223" s="2">
        <v>76170.39</v>
      </c>
      <c r="T223" s="1">
        <v>45989</v>
      </c>
      <c r="U223" s="5">
        <v>11</v>
      </c>
    </row>
    <row r="224" spans="1:21" x14ac:dyDescent="0.3">
      <c r="A224" s="5" t="s">
        <v>285</v>
      </c>
      <c r="B224" s="1">
        <v>45907</v>
      </c>
      <c r="C224" s="5" t="s">
        <v>27</v>
      </c>
      <c r="D224" s="5" t="s">
        <v>36</v>
      </c>
      <c r="E224" s="5" t="s">
        <v>29</v>
      </c>
      <c r="F224" s="5" t="s">
        <v>69</v>
      </c>
      <c r="G224" s="5" t="s">
        <v>56</v>
      </c>
      <c r="H224" s="5" t="s">
        <v>23</v>
      </c>
      <c r="I224" s="5">
        <v>333</v>
      </c>
      <c r="J224" s="5">
        <v>1671</v>
      </c>
      <c r="K224" s="5">
        <v>2429.6999999999998</v>
      </c>
      <c r="L224" s="5">
        <v>964</v>
      </c>
      <c r="M224" s="5">
        <v>169</v>
      </c>
      <c r="N224" s="5">
        <v>8</v>
      </c>
      <c r="O224" s="5" t="s">
        <v>24</v>
      </c>
      <c r="P224" s="5">
        <v>6313</v>
      </c>
      <c r="Q224" s="5" t="s">
        <v>46</v>
      </c>
      <c r="R224" s="2">
        <v>809090.1</v>
      </c>
      <c r="S224" s="2">
        <v>252647.1</v>
      </c>
      <c r="T224" s="1">
        <v>45907</v>
      </c>
      <c r="U224" s="5">
        <v>9</v>
      </c>
    </row>
    <row r="225" spans="1:21" x14ac:dyDescent="0.3">
      <c r="A225" s="5" t="s">
        <v>286</v>
      </c>
      <c r="B225" s="1">
        <v>45978</v>
      </c>
      <c r="C225" s="5" t="s">
        <v>18</v>
      </c>
      <c r="D225" s="5" t="s">
        <v>53</v>
      </c>
      <c r="E225" s="5" t="s">
        <v>54</v>
      </c>
      <c r="F225" s="5" t="s">
        <v>87</v>
      </c>
      <c r="G225" s="5" t="s">
        <v>31</v>
      </c>
      <c r="H225" s="5" t="s">
        <v>51</v>
      </c>
      <c r="I225" s="5">
        <v>476</v>
      </c>
      <c r="J225" s="5">
        <v>1443</v>
      </c>
      <c r="K225" s="5">
        <v>1661.59</v>
      </c>
      <c r="L225" s="5">
        <v>1837</v>
      </c>
      <c r="M225" s="5">
        <v>221</v>
      </c>
      <c r="N225" s="5">
        <v>2</v>
      </c>
      <c r="O225" s="5" t="s">
        <v>32</v>
      </c>
      <c r="P225" s="5">
        <v>2975</v>
      </c>
      <c r="Q225" s="5" t="s">
        <v>25</v>
      </c>
      <c r="R225" s="2">
        <v>790916.84</v>
      </c>
      <c r="S225" s="2">
        <v>104048.84</v>
      </c>
      <c r="T225" s="1">
        <v>45978</v>
      </c>
      <c r="U225" s="5">
        <v>11</v>
      </c>
    </row>
    <row r="226" spans="1:21" x14ac:dyDescent="0.3">
      <c r="A226" s="5" t="s">
        <v>287</v>
      </c>
      <c r="B226" s="1">
        <v>45935</v>
      </c>
      <c r="C226" s="5" t="s">
        <v>18</v>
      </c>
      <c r="D226" s="5" t="s">
        <v>36</v>
      </c>
      <c r="E226" s="5" t="s">
        <v>54</v>
      </c>
      <c r="F226" s="5" t="s">
        <v>87</v>
      </c>
      <c r="G226" s="5" t="s">
        <v>31</v>
      </c>
      <c r="H226" s="5" t="s">
        <v>23</v>
      </c>
      <c r="I226" s="5">
        <v>185</v>
      </c>
      <c r="J226" s="5">
        <v>3675</v>
      </c>
      <c r="K226" s="5">
        <v>5138.8599999999997</v>
      </c>
      <c r="L226" s="5">
        <v>973</v>
      </c>
      <c r="M226" s="5">
        <v>297</v>
      </c>
      <c r="N226" s="5">
        <v>9</v>
      </c>
      <c r="O226" s="5" t="s">
        <v>24</v>
      </c>
      <c r="P226" s="5">
        <v>3240</v>
      </c>
      <c r="Q226" s="5" t="s">
        <v>40</v>
      </c>
      <c r="R226" s="2">
        <v>950689.1</v>
      </c>
      <c r="S226" s="2">
        <v>270814.09999999998</v>
      </c>
      <c r="T226" s="1">
        <v>45935</v>
      </c>
      <c r="U226" s="5">
        <v>10</v>
      </c>
    </row>
    <row r="227" spans="1:21" x14ac:dyDescent="0.3">
      <c r="A227" s="5" t="s">
        <v>288</v>
      </c>
      <c r="B227" s="1">
        <v>45691</v>
      </c>
      <c r="C227" s="5" t="s">
        <v>42</v>
      </c>
      <c r="D227" s="5" t="s">
        <v>28</v>
      </c>
      <c r="E227" s="5" t="s">
        <v>54</v>
      </c>
      <c r="F227" s="5" t="s">
        <v>55</v>
      </c>
      <c r="G227" s="5" t="s">
        <v>31</v>
      </c>
      <c r="H227" s="5" t="s">
        <v>39</v>
      </c>
      <c r="I227" s="5">
        <v>77</v>
      </c>
      <c r="J227" s="5">
        <v>287</v>
      </c>
      <c r="K227" s="5">
        <v>380.55</v>
      </c>
      <c r="L227" s="5">
        <v>187</v>
      </c>
      <c r="M227" s="5">
        <v>233</v>
      </c>
      <c r="N227" s="5">
        <v>10</v>
      </c>
      <c r="O227" s="5" t="s">
        <v>24</v>
      </c>
      <c r="P227" s="5">
        <v>6466</v>
      </c>
      <c r="Q227" s="5" t="s">
        <v>46</v>
      </c>
      <c r="R227" s="2">
        <v>29302.35</v>
      </c>
      <c r="S227" s="2">
        <v>7203.35</v>
      </c>
      <c r="T227" s="1">
        <v>45691</v>
      </c>
      <c r="U227" s="5">
        <v>2</v>
      </c>
    </row>
    <row r="228" spans="1:21" x14ac:dyDescent="0.3">
      <c r="A228" s="5" t="s">
        <v>289</v>
      </c>
      <c r="B228" s="1">
        <v>45916</v>
      </c>
      <c r="C228" s="5" t="s">
        <v>42</v>
      </c>
      <c r="D228" s="5" t="s">
        <v>36</v>
      </c>
      <c r="E228" s="5" t="s">
        <v>29</v>
      </c>
      <c r="F228" s="5" t="s">
        <v>73</v>
      </c>
      <c r="G228" s="5" t="s">
        <v>56</v>
      </c>
      <c r="H228" s="5" t="s">
        <v>23</v>
      </c>
      <c r="I228" s="5">
        <v>34</v>
      </c>
      <c r="J228" s="5">
        <v>792</v>
      </c>
      <c r="K228" s="5">
        <v>1163.76</v>
      </c>
      <c r="L228" s="5">
        <v>1661</v>
      </c>
      <c r="M228" s="5">
        <v>103</v>
      </c>
      <c r="N228" s="5">
        <v>6</v>
      </c>
      <c r="O228" s="5" t="s">
        <v>24</v>
      </c>
      <c r="P228" s="5">
        <v>2931</v>
      </c>
      <c r="Q228" s="5" t="s">
        <v>40</v>
      </c>
      <c r="R228" s="2">
        <v>39567.839999999997</v>
      </c>
      <c r="S228" s="2">
        <v>12639.84</v>
      </c>
      <c r="T228" s="1">
        <v>45916</v>
      </c>
      <c r="U228" s="5">
        <v>9</v>
      </c>
    </row>
    <row r="229" spans="1:21" x14ac:dyDescent="0.3">
      <c r="A229" s="5" t="s">
        <v>290</v>
      </c>
      <c r="B229" s="1">
        <v>45976</v>
      </c>
      <c r="C229" s="5" t="s">
        <v>42</v>
      </c>
      <c r="D229" s="5" t="s">
        <v>19</v>
      </c>
      <c r="E229" s="5" t="s">
        <v>29</v>
      </c>
      <c r="F229" s="5" t="s">
        <v>43</v>
      </c>
      <c r="G229" s="5" t="s">
        <v>56</v>
      </c>
      <c r="H229" s="5" t="s">
        <v>51</v>
      </c>
      <c r="I229" s="5">
        <v>350</v>
      </c>
      <c r="J229" s="5">
        <v>3544</v>
      </c>
      <c r="K229" s="5">
        <v>4780.79</v>
      </c>
      <c r="L229" s="5">
        <v>440</v>
      </c>
      <c r="M229" s="5">
        <v>163</v>
      </c>
      <c r="N229" s="5">
        <v>7</v>
      </c>
      <c r="O229" s="5" t="s">
        <v>24</v>
      </c>
      <c r="P229" s="5">
        <v>5612</v>
      </c>
      <c r="Q229" s="5" t="s">
        <v>46</v>
      </c>
      <c r="R229" s="2">
        <v>1673276.5</v>
      </c>
      <c r="S229" s="2">
        <v>432876.5</v>
      </c>
      <c r="T229" s="1">
        <v>45976</v>
      </c>
      <c r="U229" s="5">
        <v>11</v>
      </c>
    </row>
    <row r="230" spans="1:21" x14ac:dyDescent="0.3">
      <c r="A230" s="5" t="s">
        <v>291</v>
      </c>
      <c r="B230" s="1">
        <v>45813</v>
      </c>
      <c r="C230" s="5" t="s">
        <v>42</v>
      </c>
      <c r="D230" s="5" t="s">
        <v>53</v>
      </c>
      <c r="E230" s="5" t="s">
        <v>54</v>
      </c>
      <c r="F230" s="5" t="s">
        <v>78</v>
      </c>
      <c r="G230" s="5" t="s">
        <v>31</v>
      </c>
      <c r="H230" s="5" t="s">
        <v>39</v>
      </c>
      <c r="I230" s="5">
        <v>166</v>
      </c>
      <c r="J230" s="5">
        <v>1278</v>
      </c>
      <c r="K230" s="5">
        <v>1908.18</v>
      </c>
      <c r="L230" s="5">
        <v>1029</v>
      </c>
      <c r="M230" s="5">
        <v>168</v>
      </c>
      <c r="N230" s="5">
        <v>10</v>
      </c>
      <c r="O230" s="5" t="s">
        <v>24</v>
      </c>
      <c r="P230" s="5">
        <v>6334</v>
      </c>
      <c r="Q230" s="5" t="s">
        <v>25</v>
      </c>
      <c r="R230" s="2">
        <v>316757.88</v>
      </c>
      <c r="S230" s="2">
        <v>104609.88</v>
      </c>
      <c r="T230" s="1">
        <v>45813</v>
      </c>
      <c r="U230" s="5">
        <v>6</v>
      </c>
    </row>
    <row r="231" spans="1:21" x14ac:dyDescent="0.3">
      <c r="A231" s="5" t="s">
        <v>292</v>
      </c>
      <c r="B231" s="1">
        <v>45898</v>
      </c>
      <c r="C231" s="5" t="s">
        <v>18</v>
      </c>
      <c r="D231" s="5" t="s">
        <v>53</v>
      </c>
      <c r="E231" s="5" t="s">
        <v>49</v>
      </c>
      <c r="F231" s="5" t="s">
        <v>65</v>
      </c>
      <c r="G231" s="5" t="s">
        <v>56</v>
      </c>
      <c r="H231" s="5" t="s">
        <v>39</v>
      </c>
      <c r="I231" s="5">
        <v>204</v>
      </c>
      <c r="J231" s="5">
        <v>3544</v>
      </c>
      <c r="K231" s="5">
        <v>4697.2299999999996</v>
      </c>
      <c r="L231" s="5">
        <v>804</v>
      </c>
      <c r="M231" s="5">
        <v>104</v>
      </c>
      <c r="N231" s="5">
        <v>5</v>
      </c>
      <c r="O231" s="5" t="s">
        <v>32</v>
      </c>
      <c r="P231" s="5">
        <v>7197</v>
      </c>
      <c r="Q231" s="5" t="s">
        <v>33</v>
      </c>
      <c r="R231" s="2">
        <v>958234.92</v>
      </c>
      <c r="S231" s="2">
        <v>235258.92</v>
      </c>
      <c r="T231" s="1">
        <v>45898</v>
      </c>
      <c r="U231" s="5">
        <v>8</v>
      </c>
    </row>
    <row r="232" spans="1:21" x14ac:dyDescent="0.3">
      <c r="A232" s="5" t="s">
        <v>293</v>
      </c>
      <c r="B232" s="1">
        <v>45732</v>
      </c>
      <c r="C232" s="5" t="s">
        <v>42</v>
      </c>
      <c r="D232" s="5" t="s">
        <v>53</v>
      </c>
      <c r="E232" s="5" t="s">
        <v>49</v>
      </c>
      <c r="F232" s="5" t="s">
        <v>75</v>
      </c>
      <c r="G232" s="5" t="s">
        <v>38</v>
      </c>
      <c r="H232" s="5" t="s">
        <v>23</v>
      </c>
      <c r="I232" s="5">
        <v>203</v>
      </c>
      <c r="J232" s="5">
        <v>3640</v>
      </c>
      <c r="K232" s="5">
        <v>4282.13</v>
      </c>
      <c r="L232" s="5">
        <v>924</v>
      </c>
      <c r="M232" s="5">
        <v>260</v>
      </c>
      <c r="N232" s="5">
        <v>10</v>
      </c>
      <c r="O232" s="5" t="s">
        <v>24</v>
      </c>
      <c r="P232" s="5">
        <v>4133</v>
      </c>
      <c r="Q232" s="5" t="s">
        <v>40</v>
      </c>
      <c r="R232" s="2">
        <v>869272.39</v>
      </c>
      <c r="S232" s="2">
        <v>130352.39</v>
      </c>
      <c r="T232" s="1">
        <v>45732</v>
      </c>
      <c r="U232" s="5">
        <v>3</v>
      </c>
    </row>
    <row r="233" spans="1:21" x14ac:dyDescent="0.3">
      <c r="A233" s="5" t="s">
        <v>294</v>
      </c>
      <c r="B233" s="1">
        <v>45666</v>
      </c>
      <c r="C233" s="5" t="s">
        <v>18</v>
      </c>
      <c r="D233" s="5" t="s">
        <v>36</v>
      </c>
      <c r="E233" s="5" t="s">
        <v>20</v>
      </c>
      <c r="F233" s="5" t="s">
        <v>37</v>
      </c>
      <c r="G233" s="5" t="s">
        <v>22</v>
      </c>
      <c r="H233" s="5" t="s">
        <v>39</v>
      </c>
      <c r="I233" s="5">
        <v>396</v>
      </c>
      <c r="J233" s="5">
        <v>4164</v>
      </c>
      <c r="K233" s="5">
        <v>4898.46</v>
      </c>
      <c r="L233" s="5">
        <v>788</v>
      </c>
      <c r="M233" s="5">
        <v>252</v>
      </c>
      <c r="N233" s="5">
        <v>5</v>
      </c>
      <c r="O233" s="5" t="s">
        <v>32</v>
      </c>
      <c r="P233" s="5">
        <v>513</v>
      </c>
      <c r="Q233" s="5" t="s">
        <v>33</v>
      </c>
      <c r="R233" s="2">
        <v>1939790.16</v>
      </c>
      <c r="S233" s="2">
        <v>290846.15999999997</v>
      </c>
      <c r="T233" s="1">
        <v>45666</v>
      </c>
      <c r="U233" s="5">
        <v>1</v>
      </c>
    </row>
    <row r="234" spans="1:21" x14ac:dyDescent="0.3">
      <c r="A234" s="5" t="s">
        <v>295</v>
      </c>
      <c r="B234" s="1">
        <v>46018</v>
      </c>
      <c r="C234" s="5" t="s">
        <v>35</v>
      </c>
      <c r="D234" s="5" t="s">
        <v>53</v>
      </c>
      <c r="E234" s="5" t="s">
        <v>49</v>
      </c>
      <c r="F234" s="5" t="s">
        <v>75</v>
      </c>
      <c r="G234" s="5" t="s">
        <v>56</v>
      </c>
      <c r="H234" s="5" t="s">
        <v>39</v>
      </c>
      <c r="I234" s="5">
        <v>284</v>
      </c>
      <c r="J234" s="5">
        <v>1914</v>
      </c>
      <c r="K234" s="5">
        <v>2502.58</v>
      </c>
      <c r="L234" s="5">
        <v>937</v>
      </c>
      <c r="M234" s="5">
        <v>213</v>
      </c>
      <c r="N234" s="5">
        <v>5</v>
      </c>
      <c r="O234" s="5" t="s">
        <v>32</v>
      </c>
      <c r="P234" s="5">
        <v>2588</v>
      </c>
      <c r="Q234" s="5" t="s">
        <v>25</v>
      </c>
      <c r="R234" s="2">
        <v>710732.72</v>
      </c>
      <c r="S234" s="2">
        <v>167156.72</v>
      </c>
      <c r="T234" s="1">
        <v>46018</v>
      </c>
      <c r="U234" s="5">
        <v>12</v>
      </c>
    </row>
    <row r="235" spans="1:21" x14ac:dyDescent="0.3">
      <c r="A235" s="5" t="s">
        <v>296</v>
      </c>
      <c r="B235" s="1">
        <v>45951</v>
      </c>
      <c r="C235" s="5" t="s">
        <v>42</v>
      </c>
      <c r="D235" s="5" t="s">
        <v>62</v>
      </c>
      <c r="E235" s="5" t="s">
        <v>20</v>
      </c>
      <c r="F235" s="5" t="s">
        <v>60</v>
      </c>
      <c r="G235" s="5" t="s">
        <v>38</v>
      </c>
      <c r="H235" s="5" t="s">
        <v>23</v>
      </c>
      <c r="I235" s="5">
        <v>389</v>
      </c>
      <c r="J235" s="5">
        <v>1692</v>
      </c>
      <c r="K235" s="5">
        <v>2019.06</v>
      </c>
      <c r="L235" s="5">
        <v>1915</v>
      </c>
      <c r="M235" s="5">
        <v>111</v>
      </c>
      <c r="N235" s="5">
        <v>8</v>
      </c>
      <c r="O235" s="5" t="s">
        <v>24</v>
      </c>
      <c r="P235" s="5">
        <v>5401</v>
      </c>
      <c r="Q235" s="5" t="s">
        <v>46</v>
      </c>
      <c r="R235" s="2">
        <v>785414.34</v>
      </c>
      <c r="S235" s="2">
        <v>127226.34</v>
      </c>
      <c r="T235" s="1">
        <v>45951</v>
      </c>
      <c r="U235" s="5">
        <v>10</v>
      </c>
    </row>
    <row r="236" spans="1:21" x14ac:dyDescent="0.3">
      <c r="A236" s="5" t="s">
        <v>297</v>
      </c>
      <c r="B236" s="1">
        <v>45746</v>
      </c>
      <c r="C236" s="5" t="s">
        <v>27</v>
      </c>
      <c r="D236" s="5" t="s">
        <v>36</v>
      </c>
      <c r="E236" s="5" t="s">
        <v>49</v>
      </c>
      <c r="F236" s="5" t="s">
        <v>89</v>
      </c>
      <c r="G236" s="5" t="s">
        <v>31</v>
      </c>
      <c r="H236" s="5" t="s">
        <v>51</v>
      </c>
      <c r="I236" s="5">
        <v>177</v>
      </c>
      <c r="J236" s="5">
        <v>4204</v>
      </c>
      <c r="K236" s="5">
        <v>5230.84</v>
      </c>
      <c r="L236" s="5">
        <v>203</v>
      </c>
      <c r="M236" s="5">
        <v>287</v>
      </c>
      <c r="N236" s="5">
        <v>2</v>
      </c>
      <c r="O236" s="5" t="s">
        <v>32</v>
      </c>
      <c r="P236" s="5">
        <v>4627</v>
      </c>
      <c r="Q236" s="5" t="s">
        <v>33</v>
      </c>
      <c r="R236" s="2">
        <v>925858.68</v>
      </c>
      <c r="S236" s="2">
        <v>181750.68</v>
      </c>
      <c r="T236" s="1">
        <v>45746</v>
      </c>
      <c r="U236" s="5">
        <v>3</v>
      </c>
    </row>
    <row r="237" spans="1:21" x14ac:dyDescent="0.3">
      <c r="A237" s="5" t="s">
        <v>298</v>
      </c>
      <c r="B237" s="1">
        <v>45702</v>
      </c>
      <c r="C237" s="5" t="s">
        <v>42</v>
      </c>
      <c r="D237" s="5" t="s">
        <v>62</v>
      </c>
      <c r="E237" s="5" t="s">
        <v>54</v>
      </c>
      <c r="F237" s="5" t="s">
        <v>81</v>
      </c>
      <c r="G237" s="5" t="s">
        <v>22</v>
      </c>
      <c r="H237" s="5" t="s">
        <v>51</v>
      </c>
      <c r="I237" s="5">
        <v>292</v>
      </c>
      <c r="J237" s="5">
        <v>1937</v>
      </c>
      <c r="K237" s="5">
        <v>2380.44</v>
      </c>
      <c r="L237" s="5">
        <v>1848</v>
      </c>
      <c r="M237" s="5">
        <v>139</v>
      </c>
      <c r="N237" s="5">
        <v>6</v>
      </c>
      <c r="O237" s="5" t="s">
        <v>24</v>
      </c>
      <c r="P237" s="5">
        <v>7536</v>
      </c>
      <c r="Q237" s="5" t="s">
        <v>25</v>
      </c>
      <c r="R237" s="2">
        <v>695088.48</v>
      </c>
      <c r="S237" s="2">
        <v>129484.48</v>
      </c>
      <c r="T237" s="1">
        <v>45702</v>
      </c>
      <c r="U237" s="5">
        <v>2</v>
      </c>
    </row>
    <row r="238" spans="1:21" x14ac:dyDescent="0.3">
      <c r="A238" s="5" t="s">
        <v>299</v>
      </c>
      <c r="B238" s="1">
        <v>45660</v>
      </c>
      <c r="C238" s="5" t="s">
        <v>27</v>
      </c>
      <c r="D238" s="5" t="s">
        <v>28</v>
      </c>
      <c r="E238" s="5" t="s">
        <v>54</v>
      </c>
      <c r="F238" s="5" t="s">
        <v>81</v>
      </c>
      <c r="G238" s="5" t="s">
        <v>38</v>
      </c>
      <c r="H238" s="5" t="s">
        <v>51</v>
      </c>
      <c r="I238" s="5">
        <v>43</v>
      </c>
      <c r="J238" s="5">
        <v>4080</v>
      </c>
      <c r="K238" s="5">
        <v>4897.38</v>
      </c>
      <c r="L238" s="5">
        <v>537</v>
      </c>
      <c r="M238" s="5">
        <v>167</v>
      </c>
      <c r="N238" s="5">
        <v>1</v>
      </c>
      <c r="O238" s="5" t="s">
        <v>32</v>
      </c>
      <c r="P238" s="5">
        <v>4892</v>
      </c>
      <c r="Q238" s="5" t="s">
        <v>33</v>
      </c>
      <c r="R238" s="2">
        <v>210587.34</v>
      </c>
      <c r="S238" s="2">
        <v>35147.339999999997</v>
      </c>
      <c r="T238" s="1">
        <v>45660</v>
      </c>
      <c r="U238" s="5">
        <v>1</v>
      </c>
    </row>
    <row r="239" spans="1:21" x14ac:dyDescent="0.3">
      <c r="A239" s="5" t="s">
        <v>300</v>
      </c>
      <c r="B239" s="1">
        <v>45760</v>
      </c>
      <c r="C239" s="5" t="s">
        <v>35</v>
      </c>
      <c r="D239" s="5" t="s">
        <v>36</v>
      </c>
      <c r="E239" s="5" t="s">
        <v>20</v>
      </c>
      <c r="F239" s="5" t="s">
        <v>100</v>
      </c>
      <c r="G239" s="5" t="s">
        <v>56</v>
      </c>
      <c r="H239" s="5" t="s">
        <v>39</v>
      </c>
      <c r="I239" s="5">
        <v>201</v>
      </c>
      <c r="J239" s="5">
        <v>2374</v>
      </c>
      <c r="K239" s="5">
        <v>3214.58</v>
      </c>
      <c r="L239" s="5">
        <v>1605</v>
      </c>
      <c r="M239" s="5">
        <v>249</v>
      </c>
      <c r="N239" s="5">
        <v>10</v>
      </c>
      <c r="O239" s="5" t="s">
        <v>24</v>
      </c>
      <c r="P239" s="5">
        <v>7584</v>
      </c>
      <c r="Q239" s="5" t="s">
        <v>46</v>
      </c>
      <c r="R239" s="2">
        <v>646130.57999999996</v>
      </c>
      <c r="S239" s="2">
        <v>168956.58</v>
      </c>
      <c r="T239" s="1">
        <v>45760</v>
      </c>
      <c r="U239" s="5">
        <v>4</v>
      </c>
    </row>
    <row r="240" spans="1:21" x14ac:dyDescent="0.3">
      <c r="A240" s="5" t="s">
        <v>301</v>
      </c>
      <c r="B240" s="1">
        <v>45707</v>
      </c>
      <c r="C240" s="5" t="s">
        <v>18</v>
      </c>
      <c r="D240" s="5" t="s">
        <v>62</v>
      </c>
      <c r="E240" s="5" t="s">
        <v>20</v>
      </c>
      <c r="F240" s="5" t="s">
        <v>21</v>
      </c>
      <c r="G240" s="5" t="s">
        <v>38</v>
      </c>
      <c r="H240" s="5" t="s">
        <v>23</v>
      </c>
      <c r="I240" s="5">
        <v>425</v>
      </c>
      <c r="J240" s="5">
        <v>4067</v>
      </c>
      <c r="K240" s="5">
        <v>6098.11</v>
      </c>
      <c r="L240" s="5">
        <v>1394</v>
      </c>
      <c r="M240" s="5">
        <v>248</v>
      </c>
      <c r="N240" s="5">
        <v>4</v>
      </c>
      <c r="O240" s="5" t="s">
        <v>32</v>
      </c>
      <c r="P240" s="5">
        <v>3834</v>
      </c>
      <c r="Q240" s="5" t="s">
        <v>25</v>
      </c>
      <c r="R240" s="2">
        <v>2591696.75</v>
      </c>
      <c r="S240" s="2">
        <v>863221.75</v>
      </c>
      <c r="T240" s="1">
        <v>45707</v>
      </c>
      <c r="U240" s="5">
        <v>2</v>
      </c>
    </row>
    <row r="241" spans="1:21" x14ac:dyDescent="0.3">
      <c r="A241" s="5" t="s">
        <v>302</v>
      </c>
      <c r="B241" s="1">
        <v>45782</v>
      </c>
      <c r="C241" s="5" t="s">
        <v>18</v>
      </c>
      <c r="D241" s="5" t="s">
        <v>53</v>
      </c>
      <c r="E241" s="5" t="s">
        <v>49</v>
      </c>
      <c r="F241" s="5" t="s">
        <v>75</v>
      </c>
      <c r="G241" s="5" t="s">
        <v>31</v>
      </c>
      <c r="H241" s="5" t="s">
        <v>23</v>
      </c>
      <c r="I241" s="5">
        <v>226</v>
      </c>
      <c r="J241" s="5">
        <v>4279</v>
      </c>
      <c r="K241" s="5">
        <v>5740.79</v>
      </c>
      <c r="L241" s="5">
        <v>1097</v>
      </c>
      <c r="M241" s="5">
        <v>224</v>
      </c>
      <c r="N241" s="5">
        <v>5</v>
      </c>
      <c r="O241" s="5" t="s">
        <v>32</v>
      </c>
      <c r="P241" s="5">
        <v>2441</v>
      </c>
      <c r="Q241" s="5" t="s">
        <v>33</v>
      </c>
      <c r="R241" s="2">
        <v>1297418.54</v>
      </c>
      <c r="S241" s="2">
        <v>330364.53999999998</v>
      </c>
      <c r="T241" s="1">
        <v>45782</v>
      </c>
      <c r="U241" s="5">
        <v>5</v>
      </c>
    </row>
    <row r="242" spans="1:21" x14ac:dyDescent="0.3">
      <c r="A242" s="5" t="s">
        <v>303</v>
      </c>
      <c r="B242" s="1">
        <v>45757</v>
      </c>
      <c r="C242" s="5" t="s">
        <v>35</v>
      </c>
      <c r="D242" s="5" t="s">
        <v>62</v>
      </c>
      <c r="E242" s="5" t="s">
        <v>49</v>
      </c>
      <c r="F242" s="5" t="s">
        <v>89</v>
      </c>
      <c r="G242" s="5" t="s">
        <v>38</v>
      </c>
      <c r="H242" s="5" t="s">
        <v>39</v>
      </c>
      <c r="I242" s="5">
        <v>121</v>
      </c>
      <c r="J242" s="5">
        <v>545</v>
      </c>
      <c r="K242" s="5">
        <v>742.9</v>
      </c>
      <c r="L242" s="5">
        <v>1855</v>
      </c>
      <c r="M242" s="5">
        <v>285</v>
      </c>
      <c r="N242" s="5">
        <v>4</v>
      </c>
      <c r="O242" s="5" t="s">
        <v>32</v>
      </c>
      <c r="P242" s="5">
        <v>3570</v>
      </c>
      <c r="Q242" s="5" t="s">
        <v>33</v>
      </c>
      <c r="R242" s="2">
        <v>89890.9</v>
      </c>
      <c r="S242" s="2">
        <v>23945.9</v>
      </c>
      <c r="T242" s="1">
        <v>45757</v>
      </c>
      <c r="U242" s="5">
        <v>4</v>
      </c>
    </row>
    <row r="243" spans="1:21" x14ac:dyDescent="0.3">
      <c r="A243" s="5" t="s">
        <v>304</v>
      </c>
      <c r="B243" s="1">
        <v>45691</v>
      </c>
      <c r="C243" s="5" t="s">
        <v>18</v>
      </c>
      <c r="D243" s="5" t="s">
        <v>28</v>
      </c>
      <c r="E243" s="5" t="s">
        <v>20</v>
      </c>
      <c r="F243" s="5" t="s">
        <v>37</v>
      </c>
      <c r="G243" s="5" t="s">
        <v>31</v>
      </c>
      <c r="H243" s="5" t="s">
        <v>23</v>
      </c>
      <c r="I243" s="5">
        <v>18</v>
      </c>
      <c r="J243" s="5">
        <v>1708</v>
      </c>
      <c r="K243" s="5">
        <v>2152.85</v>
      </c>
      <c r="L243" s="5">
        <v>1207</v>
      </c>
      <c r="M243" s="5">
        <v>164</v>
      </c>
      <c r="N243" s="5">
        <v>3</v>
      </c>
      <c r="O243" s="5" t="s">
        <v>32</v>
      </c>
      <c r="P243" s="5">
        <v>6256</v>
      </c>
      <c r="Q243" s="5" t="s">
        <v>33</v>
      </c>
      <c r="R243" s="2">
        <v>38751.300000000003</v>
      </c>
      <c r="S243" s="2">
        <v>8007.3</v>
      </c>
      <c r="T243" s="1">
        <v>45691</v>
      </c>
      <c r="U243" s="5">
        <v>2</v>
      </c>
    </row>
    <row r="244" spans="1:21" x14ac:dyDescent="0.3">
      <c r="A244" s="5" t="s">
        <v>305</v>
      </c>
      <c r="B244" s="1">
        <v>45835</v>
      </c>
      <c r="C244" s="5" t="s">
        <v>35</v>
      </c>
      <c r="D244" s="5" t="s">
        <v>62</v>
      </c>
      <c r="E244" s="5" t="s">
        <v>54</v>
      </c>
      <c r="F244" s="5" t="s">
        <v>81</v>
      </c>
      <c r="G244" s="5" t="s">
        <v>56</v>
      </c>
      <c r="H244" s="5" t="s">
        <v>51</v>
      </c>
      <c r="I244" s="5">
        <v>241</v>
      </c>
      <c r="J244" s="5">
        <v>3851</v>
      </c>
      <c r="K244" s="5">
        <v>4484.33</v>
      </c>
      <c r="L244" s="5">
        <v>824</v>
      </c>
      <c r="M244" s="5">
        <v>237</v>
      </c>
      <c r="N244" s="5">
        <v>4</v>
      </c>
      <c r="O244" s="5" t="s">
        <v>32</v>
      </c>
      <c r="P244" s="5">
        <v>4981</v>
      </c>
      <c r="Q244" s="5" t="s">
        <v>33</v>
      </c>
      <c r="R244" s="2">
        <v>1080723.53</v>
      </c>
      <c r="S244" s="2">
        <v>152632.53</v>
      </c>
      <c r="T244" s="1">
        <v>45835</v>
      </c>
      <c r="U244" s="5">
        <v>6</v>
      </c>
    </row>
    <row r="245" spans="1:21" x14ac:dyDescent="0.3">
      <c r="A245" s="5" t="s">
        <v>306</v>
      </c>
      <c r="B245" s="1">
        <v>45831</v>
      </c>
      <c r="C245" s="5" t="s">
        <v>27</v>
      </c>
      <c r="D245" s="5" t="s">
        <v>19</v>
      </c>
      <c r="E245" s="5" t="s">
        <v>49</v>
      </c>
      <c r="F245" s="5" t="s">
        <v>50</v>
      </c>
      <c r="G245" s="5" t="s">
        <v>38</v>
      </c>
      <c r="H245" s="5" t="s">
        <v>51</v>
      </c>
      <c r="I245" s="5">
        <v>369</v>
      </c>
      <c r="J245" s="5">
        <v>4285</v>
      </c>
      <c r="K245" s="5">
        <v>5236.42</v>
      </c>
      <c r="L245" s="5">
        <v>1260</v>
      </c>
      <c r="M245" s="5">
        <v>126</v>
      </c>
      <c r="N245" s="5">
        <v>5</v>
      </c>
      <c r="O245" s="5" t="s">
        <v>32</v>
      </c>
      <c r="P245" s="5">
        <v>6547</v>
      </c>
      <c r="Q245" s="5" t="s">
        <v>33</v>
      </c>
      <c r="R245" s="2">
        <v>1932238.98</v>
      </c>
      <c r="S245" s="2">
        <v>351073.98</v>
      </c>
      <c r="T245" s="1">
        <v>45831</v>
      </c>
      <c r="U245" s="5">
        <v>6</v>
      </c>
    </row>
    <row r="246" spans="1:21" x14ac:dyDescent="0.3">
      <c r="A246" s="5" t="s">
        <v>307</v>
      </c>
      <c r="B246" s="1">
        <v>45970</v>
      </c>
      <c r="C246" s="5" t="s">
        <v>35</v>
      </c>
      <c r="D246" s="5" t="s">
        <v>53</v>
      </c>
      <c r="E246" s="5" t="s">
        <v>54</v>
      </c>
      <c r="F246" s="5" t="s">
        <v>87</v>
      </c>
      <c r="G246" s="5" t="s">
        <v>31</v>
      </c>
      <c r="H246" s="5" t="s">
        <v>51</v>
      </c>
      <c r="I246" s="5">
        <v>458</v>
      </c>
      <c r="J246" s="5">
        <v>3305</v>
      </c>
      <c r="K246" s="5">
        <v>4276.63</v>
      </c>
      <c r="L246" s="5">
        <v>1106</v>
      </c>
      <c r="M246" s="5">
        <v>80</v>
      </c>
      <c r="N246" s="5">
        <v>8</v>
      </c>
      <c r="O246" s="5" t="s">
        <v>24</v>
      </c>
      <c r="P246" s="5">
        <v>5205</v>
      </c>
      <c r="Q246" s="5" t="s">
        <v>46</v>
      </c>
      <c r="R246" s="2">
        <v>1958696.54</v>
      </c>
      <c r="S246" s="2">
        <v>445006.54</v>
      </c>
      <c r="T246" s="1">
        <v>45970</v>
      </c>
      <c r="U246" s="5">
        <v>11</v>
      </c>
    </row>
    <row r="247" spans="1:21" x14ac:dyDescent="0.3">
      <c r="A247" s="5" t="s">
        <v>308</v>
      </c>
      <c r="B247" s="1">
        <v>45709</v>
      </c>
      <c r="C247" s="5" t="s">
        <v>42</v>
      </c>
      <c r="D247" s="5" t="s">
        <v>62</v>
      </c>
      <c r="E247" s="5" t="s">
        <v>49</v>
      </c>
      <c r="F247" s="5" t="s">
        <v>50</v>
      </c>
      <c r="G247" s="5" t="s">
        <v>38</v>
      </c>
      <c r="H247" s="5" t="s">
        <v>51</v>
      </c>
      <c r="I247" s="5">
        <v>126</v>
      </c>
      <c r="J247" s="5">
        <v>1632</v>
      </c>
      <c r="K247" s="5">
        <v>2008.6</v>
      </c>
      <c r="L247" s="5">
        <v>376</v>
      </c>
      <c r="M247" s="5">
        <v>228</v>
      </c>
      <c r="N247" s="5">
        <v>8</v>
      </c>
      <c r="O247" s="5" t="s">
        <v>24</v>
      </c>
      <c r="P247" s="5">
        <v>2644</v>
      </c>
      <c r="Q247" s="5" t="s">
        <v>33</v>
      </c>
      <c r="R247" s="2">
        <v>253083.6</v>
      </c>
      <c r="S247" s="2">
        <v>47451.6</v>
      </c>
      <c r="T247" s="1">
        <v>45709</v>
      </c>
      <c r="U247" s="5">
        <v>2</v>
      </c>
    </row>
    <row r="248" spans="1:21" x14ac:dyDescent="0.3">
      <c r="A248" s="5" t="s">
        <v>309</v>
      </c>
      <c r="B248" s="1">
        <v>45801</v>
      </c>
      <c r="C248" s="5" t="s">
        <v>42</v>
      </c>
      <c r="D248" s="5" t="s">
        <v>19</v>
      </c>
      <c r="E248" s="5" t="s">
        <v>49</v>
      </c>
      <c r="F248" s="5" t="s">
        <v>89</v>
      </c>
      <c r="G248" s="5" t="s">
        <v>38</v>
      </c>
      <c r="H248" s="5" t="s">
        <v>23</v>
      </c>
      <c r="I248" s="5">
        <v>441</v>
      </c>
      <c r="J248" s="5">
        <v>2874</v>
      </c>
      <c r="K248" s="5">
        <v>3689.65</v>
      </c>
      <c r="L248" s="5">
        <v>138</v>
      </c>
      <c r="M248" s="5">
        <v>110</v>
      </c>
      <c r="N248" s="5">
        <v>3</v>
      </c>
      <c r="O248" s="5" t="s">
        <v>32</v>
      </c>
      <c r="P248" s="5">
        <v>7043</v>
      </c>
      <c r="Q248" s="5" t="s">
        <v>33</v>
      </c>
      <c r="R248" s="2">
        <v>1627135.65</v>
      </c>
      <c r="S248" s="2">
        <v>359701.65</v>
      </c>
      <c r="T248" s="1">
        <v>45801</v>
      </c>
      <c r="U248" s="5">
        <v>5</v>
      </c>
    </row>
    <row r="249" spans="1:21" x14ac:dyDescent="0.3">
      <c r="A249" s="5" t="s">
        <v>310</v>
      </c>
      <c r="B249" s="1">
        <v>45892</v>
      </c>
      <c r="C249" s="5" t="s">
        <v>27</v>
      </c>
      <c r="D249" s="5" t="s">
        <v>36</v>
      </c>
      <c r="E249" s="5" t="s">
        <v>20</v>
      </c>
      <c r="F249" s="5" t="s">
        <v>100</v>
      </c>
      <c r="G249" s="5" t="s">
        <v>31</v>
      </c>
      <c r="H249" s="5" t="s">
        <v>23</v>
      </c>
      <c r="I249" s="5">
        <v>127</v>
      </c>
      <c r="J249" s="5">
        <v>1029</v>
      </c>
      <c r="K249" s="5">
        <v>1269.4100000000001</v>
      </c>
      <c r="L249" s="5">
        <v>1133</v>
      </c>
      <c r="M249" s="5">
        <v>240</v>
      </c>
      <c r="N249" s="5">
        <v>7</v>
      </c>
      <c r="O249" s="5" t="s">
        <v>24</v>
      </c>
      <c r="P249" s="5">
        <v>5959</v>
      </c>
      <c r="Q249" s="5" t="s">
        <v>25</v>
      </c>
      <c r="R249" s="2">
        <v>161215.07</v>
      </c>
      <c r="S249" s="2">
        <v>30532.07</v>
      </c>
      <c r="T249" s="1">
        <v>45892</v>
      </c>
      <c r="U249" s="5">
        <v>8</v>
      </c>
    </row>
    <row r="250" spans="1:21" x14ac:dyDescent="0.3">
      <c r="A250" s="5" t="s">
        <v>311</v>
      </c>
      <c r="B250" s="1">
        <v>45708</v>
      </c>
      <c r="C250" s="5" t="s">
        <v>35</v>
      </c>
      <c r="D250" s="5" t="s">
        <v>28</v>
      </c>
      <c r="E250" s="5" t="s">
        <v>20</v>
      </c>
      <c r="F250" s="5" t="s">
        <v>100</v>
      </c>
      <c r="G250" s="5" t="s">
        <v>56</v>
      </c>
      <c r="H250" s="5" t="s">
        <v>39</v>
      </c>
      <c r="I250" s="5">
        <v>28</v>
      </c>
      <c r="J250" s="5">
        <v>2091</v>
      </c>
      <c r="K250" s="5">
        <v>2701.13</v>
      </c>
      <c r="L250" s="5">
        <v>1716</v>
      </c>
      <c r="M250" s="5">
        <v>142</v>
      </c>
      <c r="N250" s="5">
        <v>7</v>
      </c>
      <c r="O250" s="5" t="s">
        <v>24</v>
      </c>
      <c r="P250" s="5">
        <v>755</v>
      </c>
      <c r="Q250" s="5" t="s">
        <v>40</v>
      </c>
      <c r="R250" s="2">
        <v>75631.64</v>
      </c>
      <c r="S250" s="2">
        <v>17083.64</v>
      </c>
      <c r="T250" s="1">
        <v>45708</v>
      </c>
      <c r="U250" s="5">
        <v>2</v>
      </c>
    </row>
    <row r="251" spans="1:21" x14ac:dyDescent="0.3">
      <c r="A251" s="5" t="s">
        <v>312</v>
      </c>
      <c r="B251" s="1">
        <v>45742</v>
      </c>
      <c r="C251" s="5" t="s">
        <v>27</v>
      </c>
      <c r="D251" s="5" t="s">
        <v>19</v>
      </c>
      <c r="E251" s="5" t="s">
        <v>54</v>
      </c>
      <c r="F251" s="5" t="s">
        <v>55</v>
      </c>
      <c r="G251" s="5" t="s">
        <v>22</v>
      </c>
      <c r="H251" s="5" t="s">
        <v>39</v>
      </c>
      <c r="I251" s="5">
        <v>177</v>
      </c>
      <c r="J251" s="5">
        <v>372</v>
      </c>
      <c r="K251" s="5">
        <v>499.19</v>
      </c>
      <c r="L251" s="5">
        <v>632</v>
      </c>
      <c r="M251" s="5">
        <v>127</v>
      </c>
      <c r="N251" s="5">
        <v>1</v>
      </c>
      <c r="O251" s="5" t="s">
        <v>24</v>
      </c>
      <c r="P251" s="5">
        <v>6478</v>
      </c>
      <c r="Q251" s="5" t="s">
        <v>33</v>
      </c>
      <c r="R251" s="2">
        <v>88356.63</v>
      </c>
      <c r="S251" s="2">
        <v>22512.63</v>
      </c>
      <c r="T251" s="1">
        <v>45742</v>
      </c>
      <c r="U251" s="5">
        <v>3</v>
      </c>
    </row>
    <row r="252" spans="1:21" x14ac:dyDescent="0.3">
      <c r="A252" s="5" t="s">
        <v>313</v>
      </c>
      <c r="B252" s="1">
        <v>45871</v>
      </c>
      <c r="C252" s="5" t="s">
        <v>18</v>
      </c>
      <c r="D252" s="5" t="s">
        <v>19</v>
      </c>
      <c r="E252" s="5" t="s">
        <v>54</v>
      </c>
      <c r="F252" s="5" t="s">
        <v>81</v>
      </c>
      <c r="G252" s="5" t="s">
        <v>38</v>
      </c>
      <c r="H252" s="5" t="s">
        <v>23</v>
      </c>
      <c r="I252" s="5">
        <v>98</v>
      </c>
      <c r="J252" s="5">
        <v>3656</v>
      </c>
      <c r="K252" s="5">
        <v>5019.3100000000004</v>
      </c>
      <c r="L252" s="5">
        <v>528</v>
      </c>
      <c r="M252" s="5">
        <v>132</v>
      </c>
      <c r="N252" s="5">
        <v>2</v>
      </c>
      <c r="O252" s="5" t="s">
        <v>32</v>
      </c>
      <c r="P252" s="5">
        <v>1803</v>
      </c>
      <c r="Q252" s="5" t="s">
        <v>33</v>
      </c>
      <c r="R252" s="2">
        <v>491892.38</v>
      </c>
      <c r="S252" s="2">
        <v>133604.38</v>
      </c>
      <c r="T252" s="1">
        <v>45871</v>
      </c>
      <c r="U252" s="5">
        <v>8</v>
      </c>
    </row>
    <row r="253" spans="1:21" x14ac:dyDescent="0.3">
      <c r="A253" s="5" t="s">
        <v>314</v>
      </c>
      <c r="B253" s="1">
        <v>45750</v>
      </c>
      <c r="C253" s="5" t="s">
        <v>18</v>
      </c>
      <c r="D253" s="5" t="s">
        <v>28</v>
      </c>
      <c r="E253" s="5" t="s">
        <v>29</v>
      </c>
      <c r="F253" s="5" t="s">
        <v>58</v>
      </c>
      <c r="G253" s="5" t="s">
        <v>56</v>
      </c>
      <c r="H253" s="5" t="s">
        <v>39</v>
      </c>
      <c r="I253" s="5">
        <v>477</v>
      </c>
      <c r="J253" s="5">
        <v>3890</v>
      </c>
      <c r="K253" s="5">
        <v>5288.78</v>
      </c>
      <c r="L253" s="5">
        <v>1014</v>
      </c>
      <c r="M253" s="5">
        <v>276</v>
      </c>
      <c r="N253" s="5">
        <v>5</v>
      </c>
      <c r="O253" s="5" t="s">
        <v>32</v>
      </c>
      <c r="P253" s="5">
        <v>4806</v>
      </c>
      <c r="Q253" s="5" t="s">
        <v>33</v>
      </c>
      <c r="R253" s="2">
        <v>2522748.06</v>
      </c>
      <c r="S253" s="2">
        <v>667218.06000000006</v>
      </c>
      <c r="T253" s="1">
        <v>45750</v>
      </c>
      <c r="U253" s="5">
        <v>4</v>
      </c>
    </row>
    <row r="254" spans="1:21" x14ac:dyDescent="0.3">
      <c r="A254" s="5" t="s">
        <v>315</v>
      </c>
      <c r="B254" s="1">
        <v>45766</v>
      </c>
      <c r="C254" s="5" t="s">
        <v>42</v>
      </c>
      <c r="D254" s="5" t="s">
        <v>36</v>
      </c>
      <c r="E254" s="5" t="s">
        <v>49</v>
      </c>
      <c r="F254" s="5" t="s">
        <v>89</v>
      </c>
      <c r="G254" s="5" t="s">
        <v>56</v>
      </c>
      <c r="H254" s="5" t="s">
        <v>39</v>
      </c>
      <c r="I254" s="5">
        <v>83</v>
      </c>
      <c r="J254" s="5">
        <v>380</v>
      </c>
      <c r="K254" s="5">
        <v>530.34</v>
      </c>
      <c r="L254" s="5">
        <v>446</v>
      </c>
      <c r="M254" s="5">
        <v>289</v>
      </c>
      <c r="N254" s="5">
        <v>3</v>
      </c>
      <c r="O254" s="5" t="s">
        <v>32</v>
      </c>
      <c r="P254" s="5">
        <v>7573</v>
      </c>
      <c r="Q254" s="5" t="s">
        <v>33</v>
      </c>
      <c r="R254" s="2">
        <v>44018.22</v>
      </c>
      <c r="S254" s="2">
        <v>12478.22</v>
      </c>
      <c r="T254" s="1">
        <v>45766</v>
      </c>
      <c r="U254" s="5">
        <v>4</v>
      </c>
    </row>
    <row r="255" spans="1:21" x14ac:dyDescent="0.3">
      <c r="A255" s="5" t="s">
        <v>316</v>
      </c>
      <c r="B255" s="1">
        <v>45987</v>
      </c>
      <c r="C255" s="5" t="s">
        <v>27</v>
      </c>
      <c r="D255" s="5" t="s">
        <v>53</v>
      </c>
      <c r="E255" s="5" t="s">
        <v>20</v>
      </c>
      <c r="F255" s="5" t="s">
        <v>100</v>
      </c>
      <c r="G255" s="5" t="s">
        <v>31</v>
      </c>
      <c r="H255" s="5" t="s">
        <v>51</v>
      </c>
      <c r="I255" s="5">
        <v>205</v>
      </c>
      <c r="J255" s="5">
        <v>3663</v>
      </c>
      <c r="K255" s="5">
        <v>5187.91</v>
      </c>
      <c r="L255" s="5">
        <v>115</v>
      </c>
      <c r="M255" s="5">
        <v>98</v>
      </c>
      <c r="N255" s="5">
        <v>8</v>
      </c>
      <c r="O255" s="5" t="s">
        <v>24</v>
      </c>
      <c r="P255" s="5">
        <v>3723</v>
      </c>
      <c r="Q255" s="5" t="s">
        <v>46</v>
      </c>
      <c r="R255" s="2">
        <v>1063521.55</v>
      </c>
      <c r="S255" s="2">
        <v>312606.55</v>
      </c>
      <c r="T255" s="1">
        <v>45987</v>
      </c>
      <c r="U255" s="5">
        <v>11</v>
      </c>
    </row>
    <row r="256" spans="1:21" x14ac:dyDescent="0.3">
      <c r="A256" s="5" t="s">
        <v>317</v>
      </c>
      <c r="B256" s="1">
        <v>45893</v>
      </c>
      <c r="C256" s="5" t="s">
        <v>27</v>
      </c>
      <c r="D256" s="5" t="s">
        <v>19</v>
      </c>
      <c r="E256" s="5" t="s">
        <v>49</v>
      </c>
      <c r="F256" s="5" t="s">
        <v>89</v>
      </c>
      <c r="G256" s="5" t="s">
        <v>38</v>
      </c>
      <c r="H256" s="5" t="s">
        <v>39</v>
      </c>
      <c r="I256" s="5">
        <v>345</v>
      </c>
      <c r="J256" s="5">
        <v>4087</v>
      </c>
      <c r="K256" s="5">
        <v>4968.4799999999996</v>
      </c>
      <c r="L256" s="5">
        <v>330</v>
      </c>
      <c r="M256" s="5">
        <v>289</v>
      </c>
      <c r="N256" s="5">
        <v>5</v>
      </c>
      <c r="O256" s="5" t="s">
        <v>24</v>
      </c>
      <c r="P256" s="5">
        <v>353</v>
      </c>
      <c r="Q256" s="5" t="s">
        <v>46</v>
      </c>
      <c r="R256" s="2">
        <v>1714125.6</v>
      </c>
      <c r="S256" s="2">
        <v>304110.59999999998</v>
      </c>
      <c r="T256" s="1">
        <v>45893</v>
      </c>
      <c r="U256" s="5">
        <v>8</v>
      </c>
    </row>
    <row r="257" spans="1:21" x14ac:dyDescent="0.3">
      <c r="A257" s="5" t="s">
        <v>318</v>
      </c>
      <c r="B257" s="1">
        <v>45894</v>
      </c>
      <c r="C257" s="5" t="s">
        <v>42</v>
      </c>
      <c r="D257" s="5" t="s">
        <v>62</v>
      </c>
      <c r="E257" s="5" t="s">
        <v>49</v>
      </c>
      <c r="F257" s="5" t="s">
        <v>75</v>
      </c>
      <c r="G257" s="5" t="s">
        <v>22</v>
      </c>
      <c r="H257" s="5" t="s">
        <v>23</v>
      </c>
      <c r="I257" s="5">
        <v>456</v>
      </c>
      <c r="J257" s="5">
        <v>661</v>
      </c>
      <c r="K257" s="5">
        <v>963.08</v>
      </c>
      <c r="L257" s="5">
        <v>1043</v>
      </c>
      <c r="M257" s="5">
        <v>87</v>
      </c>
      <c r="N257" s="5">
        <v>7</v>
      </c>
      <c r="O257" s="5" t="s">
        <v>24</v>
      </c>
      <c r="P257" s="5">
        <v>6131</v>
      </c>
      <c r="Q257" s="5" t="s">
        <v>25</v>
      </c>
      <c r="R257" s="2">
        <v>439164.48</v>
      </c>
      <c r="S257" s="2">
        <v>137748.48000000001</v>
      </c>
      <c r="T257" s="1">
        <v>45894</v>
      </c>
      <c r="U257" s="5">
        <v>8</v>
      </c>
    </row>
    <row r="258" spans="1:21" x14ac:dyDescent="0.3">
      <c r="A258" s="5" t="s">
        <v>319</v>
      </c>
      <c r="B258" s="1">
        <v>45894</v>
      </c>
      <c r="C258" s="5" t="s">
        <v>42</v>
      </c>
      <c r="D258" s="5" t="s">
        <v>62</v>
      </c>
      <c r="E258" s="5" t="s">
        <v>29</v>
      </c>
      <c r="F258" s="5" t="s">
        <v>69</v>
      </c>
      <c r="G258" s="5" t="s">
        <v>38</v>
      </c>
      <c r="H258" s="5" t="s">
        <v>51</v>
      </c>
      <c r="I258" s="5">
        <v>383</v>
      </c>
      <c r="J258" s="5">
        <v>3710</v>
      </c>
      <c r="K258" s="5">
        <v>5036.79</v>
      </c>
      <c r="L258" s="5">
        <v>153</v>
      </c>
      <c r="M258" s="5">
        <v>180</v>
      </c>
      <c r="N258" s="5">
        <v>8</v>
      </c>
      <c r="O258" s="5" t="s">
        <v>24</v>
      </c>
      <c r="P258" s="5">
        <v>2124</v>
      </c>
      <c r="Q258" s="5" t="s">
        <v>33</v>
      </c>
      <c r="R258" s="2">
        <v>1929090.57</v>
      </c>
      <c r="S258" s="2">
        <v>508160.57</v>
      </c>
      <c r="T258" s="1">
        <v>45894</v>
      </c>
      <c r="U258" s="5">
        <v>8</v>
      </c>
    </row>
    <row r="259" spans="1:21" x14ac:dyDescent="0.3">
      <c r="A259" s="5" t="s">
        <v>320</v>
      </c>
      <c r="B259" s="1">
        <v>45931</v>
      </c>
      <c r="C259" s="5" t="s">
        <v>42</v>
      </c>
      <c r="D259" s="5" t="s">
        <v>53</v>
      </c>
      <c r="E259" s="5" t="s">
        <v>20</v>
      </c>
      <c r="F259" s="5" t="s">
        <v>100</v>
      </c>
      <c r="G259" s="5" t="s">
        <v>56</v>
      </c>
      <c r="H259" s="5" t="s">
        <v>39</v>
      </c>
      <c r="I259" s="5">
        <v>375</v>
      </c>
      <c r="J259" s="5">
        <v>986</v>
      </c>
      <c r="K259" s="5">
        <v>1356</v>
      </c>
      <c r="L259" s="5">
        <v>541</v>
      </c>
      <c r="M259" s="5">
        <v>118</v>
      </c>
      <c r="N259" s="5">
        <v>3</v>
      </c>
      <c r="O259" s="5" t="s">
        <v>32</v>
      </c>
      <c r="P259" s="5">
        <v>3001</v>
      </c>
      <c r="Q259" s="5" t="s">
        <v>33</v>
      </c>
      <c r="R259" s="2">
        <v>508500</v>
      </c>
      <c r="S259" s="2">
        <v>138750</v>
      </c>
      <c r="T259" s="1">
        <v>45931</v>
      </c>
      <c r="U259" s="5">
        <v>10</v>
      </c>
    </row>
    <row r="260" spans="1:21" x14ac:dyDescent="0.3">
      <c r="A260" s="5" t="s">
        <v>321</v>
      </c>
      <c r="B260" s="1">
        <v>45942</v>
      </c>
      <c r="C260" s="5" t="s">
        <v>42</v>
      </c>
      <c r="D260" s="5" t="s">
        <v>53</v>
      </c>
      <c r="E260" s="5" t="s">
        <v>29</v>
      </c>
      <c r="F260" s="5" t="s">
        <v>69</v>
      </c>
      <c r="G260" s="5" t="s">
        <v>38</v>
      </c>
      <c r="H260" s="5" t="s">
        <v>39</v>
      </c>
      <c r="I260" s="5">
        <v>137</v>
      </c>
      <c r="J260" s="5">
        <v>2496</v>
      </c>
      <c r="K260" s="5">
        <v>3126.04</v>
      </c>
      <c r="L260" s="5">
        <v>286</v>
      </c>
      <c r="M260" s="5">
        <v>203</v>
      </c>
      <c r="N260" s="5">
        <v>4</v>
      </c>
      <c r="O260" s="5" t="s">
        <v>32</v>
      </c>
      <c r="P260" s="5">
        <v>865</v>
      </c>
      <c r="Q260" s="5" t="s">
        <v>33</v>
      </c>
      <c r="R260" s="2">
        <v>428267.48</v>
      </c>
      <c r="S260" s="2">
        <v>86315.48</v>
      </c>
      <c r="T260" s="1">
        <v>45942</v>
      </c>
      <c r="U260" s="5">
        <v>10</v>
      </c>
    </row>
    <row r="261" spans="1:21" x14ac:dyDescent="0.3">
      <c r="A261" s="5" t="s">
        <v>322</v>
      </c>
      <c r="B261" s="1">
        <v>45990</v>
      </c>
      <c r="C261" s="5" t="s">
        <v>27</v>
      </c>
      <c r="D261" s="5" t="s">
        <v>19</v>
      </c>
      <c r="E261" s="5" t="s">
        <v>20</v>
      </c>
      <c r="F261" s="5" t="s">
        <v>37</v>
      </c>
      <c r="G261" s="5" t="s">
        <v>22</v>
      </c>
      <c r="H261" s="5" t="s">
        <v>51</v>
      </c>
      <c r="I261" s="5">
        <v>298</v>
      </c>
      <c r="J261" s="5">
        <v>1590</v>
      </c>
      <c r="K261" s="5">
        <v>1941.45</v>
      </c>
      <c r="L261" s="5">
        <v>878</v>
      </c>
      <c r="M261" s="5">
        <v>184</v>
      </c>
      <c r="N261" s="5">
        <v>6</v>
      </c>
      <c r="O261" s="5" t="s">
        <v>24</v>
      </c>
      <c r="P261" s="5">
        <v>6261</v>
      </c>
      <c r="Q261" s="5" t="s">
        <v>33</v>
      </c>
      <c r="R261" s="2">
        <v>578552.1</v>
      </c>
      <c r="S261" s="2">
        <v>104732.1</v>
      </c>
      <c r="T261" s="1">
        <v>45990</v>
      </c>
      <c r="U261" s="5">
        <v>11</v>
      </c>
    </row>
    <row r="262" spans="1:21" x14ac:dyDescent="0.3">
      <c r="A262" s="5" t="s">
        <v>323</v>
      </c>
      <c r="B262" s="1">
        <v>45995</v>
      </c>
      <c r="C262" s="5" t="s">
        <v>42</v>
      </c>
      <c r="D262" s="5" t="s">
        <v>53</v>
      </c>
      <c r="E262" s="5" t="s">
        <v>29</v>
      </c>
      <c r="F262" s="5" t="s">
        <v>30</v>
      </c>
      <c r="G262" s="5" t="s">
        <v>38</v>
      </c>
      <c r="H262" s="5" t="s">
        <v>51</v>
      </c>
      <c r="I262" s="5">
        <v>49</v>
      </c>
      <c r="J262" s="5">
        <v>1012</v>
      </c>
      <c r="K262" s="5">
        <v>1429.84</v>
      </c>
      <c r="L262" s="5">
        <v>1983</v>
      </c>
      <c r="M262" s="5">
        <v>263</v>
      </c>
      <c r="N262" s="5">
        <v>7</v>
      </c>
      <c r="O262" s="5" t="s">
        <v>24</v>
      </c>
      <c r="P262" s="5">
        <v>4148</v>
      </c>
      <c r="Q262" s="5" t="s">
        <v>33</v>
      </c>
      <c r="R262" s="2">
        <v>70062.16</v>
      </c>
      <c r="S262" s="2">
        <v>20474.16</v>
      </c>
      <c r="T262" s="1">
        <v>45995</v>
      </c>
      <c r="U262" s="5">
        <v>12</v>
      </c>
    </row>
    <row r="263" spans="1:21" x14ac:dyDescent="0.3">
      <c r="A263" s="5" t="s">
        <v>324</v>
      </c>
      <c r="B263" s="1">
        <v>46006</v>
      </c>
      <c r="C263" s="5" t="s">
        <v>18</v>
      </c>
      <c r="D263" s="5" t="s">
        <v>36</v>
      </c>
      <c r="E263" s="5" t="s">
        <v>49</v>
      </c>
      <c r="F263" s="5" t="s">
        <v>94</v>
      </c>
      <c r="G263" s="5" t="s">
        <v>22</v>
      </c>
      <c r="H263" s="5" t="s">
        <v>23</v>
      </c>
      <c r="I263" s="5">
        <v>415</v>
      </c>
      <c r="J263" s="5">
        <v>4774</v>
      </c>
      <c r="K263" s="5">
        <v>5983.18</v>
      </c>
      <c r="L263" s="5">
        <v>1361</v>
      </c>
      <c r="M263" s="5">
        <v>132</v>
      </c>
      <c r="N263" s="5">
        <v>5</v>
      </c>
      <c r="O263" s="5" t="s">
        <v>32</v>
      </c>
      <c r="P263" s="5">
        <v>1151</v>
      </c>
      <c r="Q263" s="5" t="s">
        <v>33</v>
      </c>
      <c r="R263" s="2">
        <v>2483019.7000000002</v>
      </c>
      <c r="S263" s="2">
        <v>501809.7</v>
      </c>
      <c r="T263" s="1">
        <v>46006</v>
      </c>
      <c r="U263" s="5">
        <v>12</v>
      </c>
    </row>
    <row r="264" spans="1:21" x14ac:dyDescent="0.3">
      <c r="A264" s="5" t="s">
        <v>325</v>
      </c>
      <c r="B264" s="1">
        <v>46017</v>
      </c>
      <c r="C264" s="5" t="s">
        <v>18</v>
      </c>
      <c r="D264" s="5" t="s">
        <v>53</v>
      </c>
      <c r="E264" s="5" t="s">
        <v>20</v>
      </c>
      <c r="F264" s="5" t="s">
        <v>21</v>
      </c>
      <c r="G264" s="5" t="s">
        <v>56</v>
      </c>
      <c r="H264" s="5" t="s">
        <v>39</v>
      </c>
      <c r="I264" s="5">
        <v>407</v>
      </c>
      <c r="J264" s="5">
        <v>3684</v>
      </c>
      <c r="K264" s="5">
        <v>5132</v>
      </c>
      <c r="L264" s="5">
        <v>190</v>
      </c>
      <c r="M264" s="5">
        <v>235</v>
      </c>
      <c r="N264" s="5">
        <v>5</v>
      </c>
      <c r="O264" s="5" t="s">
        <v>32</v>
      </c>
      <c r="P264" s="5">
        <v>6998</v>
      </c>
      <c r="Q264" s="5" t="s">
        <v>33</v>
      </c>
      <c r="R264" s="2">
        <v>2088724</v>
      </c>
      <c r="S264" s="2">
        <v>589336</v>
      </c>
      <c r="T264" s="1">
        <v>46017</v>
      </c>
      <c r="U264" s="5">
        <v>12</v>
      </c>
    </row>
    <row r="265" spans="1:21" x14ac:dyDescent="0.3">
      <c r="A265" s="5" t="s">
        <v>326</v>
      </c>
      <c r="B265" s="1">
        <v>45834</v>
      </c>
      <c r="C265" s="5" t="s">
        <v>42</v>
      </c>
      <c r="D265" s="5" t="s">
        <v>19</v>
      </c>
      <c r="E265" s="5" t="s">
        <v>20</v>
      </c>
      <c r="F265" s="5" t="s">
        <v>60</v>
      </c>
      <c r="G265" s="5" t="s">
        <v>22</v>
      </c>
      <c r="H265" s="5" t="s">
        <v>39</v>
      </c>
      <c r="I265" s="5">
        <v>66</v>
      </c>
      <c r="J265" s="5">
        <v>711</v>
      </c>
      <c r="K265" s="5">
        <v>1011.14</v>
      </c>
      <c r="L265" s="5">
        <v>1323</v>
      </c>
      <c r="M265" s="5">
        <v>156</v>
      </c>
      <c r="N265" s="5">
        <v>10</v>
      </c>
      <c r="O265" s="5" t="s">
        <v>24</v>
      </c>
      <c r="P265" s="5">
        <v>1759</v>
      </c>
      <c r="Q265" s="5" t="s">
        <v>40</v>
      </c>
      <c r="R265" s="2">
        <v>66735.240000000005</v>
      </c>
      <c r="S265" s="2">
        <v>19809.240000000002</v>
      </c>
      <c r="T265" s="1">
        <v>45834</v>
      </c>
      <c r="U265" s="5">
        <v>6</v>
      </c>
    </row>
    <row r="266" spans="1:21" x14ac:dyDescent="0.3">
      <c r="A266" s="5" t="s">
        <v>327</v>
      </c>
      <c r="B266" s="1">
        <v>45691</v>
      </c>
      <c r="C266" s="5" t="s">
        <v>35</v>
      </c>
      <c r="D266" s="5" t="s">
        <v>19</v>
      </c>
      <c r="E266" s="5" t="s">
        <v>49</v>
      </c>
      <c r="F266" s="5" t="s">
        <v>50</v>
      </c>
      <c r="G266" s="5" t="s">
        <v>38</v>
      </c>
      <c r="H266" s="5" t="s">
        <v>23</v>
      </c>
      <c r="I266" s="5">
        <v>295</v>
      </c>
      <c r="J266" s="5">
        <v>1296</v>
      </c>
      <c r="K266" s="5">
        <v>1603.11</v>
      </c>
      <c r="L266" s="5">
        <v>543</v>
      </c>
      <c r="M266" s="5">
        <v>201</v>
      </c>
      <c r="N266" s="5">
        <v>8</v>
      </c>
      <c r="O266" s="5" t="s">
        <v>24</v>
      </c>
      <c r="P266" s="5">
        <v>7806</v>
      </c>
      <c r="Q266" s="5" t="s">
        <v>33</v>
      </c>
      <c r="R266" s="2">
        <v>472917.45</v>
      </c>
      <c r="S266" s="2">
        <v>90597.45</v>
      </c>
      <c r="T266" s="1">
        <v>45691</v>
      </c>
      <c r="U266" s="5">
        <v>2</v>
      </c>
    </row>
    <row r="267" spans="1:21" x14ac:dyDescent="0.3">
      <c r="A267" s="5" t="s">
        <v>328</v>
      </c>
      <c r="B267" s="1">
        <v>45662</v>
      </c>
      <c r="C267" s="5" t="s">
        <v>18</v>
      </c>
      <c r="D267" s="5" t="s">
        <v>19</v>
      </c>
      <c r="E267" s="5" t="s">
        <v>49</v>
      </c>
      <c r="F267" s="5" t="s">
        <v>94</v>
      </c>
      <c r="G267" s="5" t="s">
        <v>38</v>
      </c>
      <c r="H267" s="5" t="s">
        <v>51</v>
      </c>
      <c r="I267" s="5">
        <v>259</v>
      </c>
      <c r="J267" s="5">
        <v>1877</v>
      </c>
      <c r="K267" s="5">
        <v>2457.11</v>
      </c>
      <c r="L267" s="5">
        <v>1020</v>
      </c>
      <c r="M267" s="5">
        <v>116</v>
      </c>
      <c r="N267" s="5">
        <v>6</v>
      </c>
      <c r="O267" s="5" t="s">
        <v>24</v>
      </c>
      <c r="P267" s="5">
        <v>7750</v>
      </c>
      <c r="Q267" s="5" t="s">
        <v>40</v>
      </c>
      <c r="R267" s="2">
        <v>636391.49</v>
      </c>
      <c r="S267" s="2">
        <v>150248.49</v>
      </c>
      <c r="T267" s="1">
        <v>45662</v>
      </c>
      <c r="U267" s="5">
        <v>1</v>
      </c>
    </row>
    <row r="268" spans="1:21" x14ac:dyDescent="0.3">
      <c r="A268" s="5" t="s">
        <v>329</v>
      </c>
      <c r="B268" s="1">
        <v>45909</v>
      </c>
      <c r="C268" s="5" t="s">
        <v>27</v>
      </c>
      <c r="D268" s="5" t="s">
        <v>19</v>
      </c>
      <c r="E268" s="5" t="s">
        <v>20</v>
      </c>
      <c r="F268" s="5" t="s">
        <v>21</v>
      </c>
      <c r="G268" s="5" t="s">
        <v>22</v>
      </c>
      <c r="H268" s="5" t="s">
        <v>51</v>
      </c>
      <c r="I268" s="5">
        <v>41</v>
      </c>
      <c r="J268" s="5">
        <v>1258</v>
      </c>
      <c r="K268" s="5">
        <v>1523.96</v>
      </c>
      <c r="L268" s="5">
        <v>559</v>
      </c>
      <c r="M268" s="5">
        <v>284</v>
      </c>
      <c r="N268" s="5">
        <v>6</v>
      </c>
      <c r="O268" s="5" t="s">
        <v>24</v>
      </c>
      <c r="P268" s="5">
        <v>5404</v>
      </c>
      <c r="Q268" s="5" t="s">
        <v>25</v>
      </c>
      <c r="R268" s="2">
        <v>62482.36</v>
      </c>
      <c r="S268" s="2">
        <v>10904.36</v>
      </c>
      <c r="T268" s="1">
        <v>45909</v>
      </c>
      <c r="U268" s="5">
        <v>9</v>
      </c>
    </row>
    <row r="269" spans="1:21" x14ac:dyDescent="0.3">
      <c r="A269" s="5" t="s">
        <v>330</v>
      </c>
      <c r="B269" s="1">
        <v>45753</v>
      </c>
      <c r="C269" s="5" t="s">
        <v>18</v>
      </c>
      <c r="D269" s="5" t="s">
        <v>62</v>
      </c>
      <c r="E269" s="5" t="s">
        <v>29</v>
      </c>
      <c r="F269" s="5" t="s">
        <v>58</v>
      </c>
      <c r="G269" s="5" t="s">
        <v>31</v>
      </c>
      <c r="H269" s="5" t="s">
        <v>39</v>
      </c>
      <c r="I269" s="5">
        <v>471</v>
      </c>
      <c r="J269" s="5">
        <v>2151</v>
      </c>
      <c r="K269" s="5">
        <v>2538.48</v>
      </c>
      <c r="L269" s="5">
        <v>498</v>
      </c>
      <c r="M269" s="5">
        <v>223</v>
      </c>
      <c r="N269" s="5">
        <v>9</v>
      </c>
      <c r="O269" s="5" t="s">
        <v>24</v>
      </c>
      <c r="P269" s="5">
        <v>4173</v>
      </c>
      <c r="Q269" s="5" t="s">
        <v>40</v>
      </c>
      <c r="R269" s="2">
        <v>1195624.08</v>
      </c>
      <c r="S269" s="2">
        <v>182503.08</v>
      </c>
      <c r="T269" s="1">
        <v>45753</v>
      </c>
      <c r="U269" s="5">
        <v>4</v>
      </c>
    </row>
    <row r="270" spans="1:21" x14ac:dyDescent="0.3">
      <c r="A270" s="5" t="s">
        <v>331</v>
      </c>
      <c r="B270" s="1">
        <v>45841</v>
      </c>
      <c r="C270" s="5" t="s">
        <v>42</v>
      </c>
      <c r="D270" s="5" t="s">
        <v>19</v>
      </c>
      <c r="E270" s="5" t="s">
        <v>49</v>
      </c>
      <c r="F270" s="5" t="s">
        <v>94</v>
      </c>
      <c r="G270" s="5" t="s">
        <v>31</v>
      </c>
      <c r="H270" s="5" t="s">
        <v>51</v>
      </c>
      <c r="I270" s="5">
        <v>91</v>
      </c>
      <c r="J270" s="5">
        <v>1729</v>
      </c>
      <c r="K270" s="5">
        <v>2177.6</v>
      </c>
      <c r="L270" s="5">
        <v>425</v>
      </c>
      <c r="M270" s="5">
        <v>162</v>
      </c>
      <c r="N270" s="5">
        <v>5</v>
      </c>
      <c r="O270" s="5" t="s">
        <v>32</v>
      </c>
      <c r="P270" s="5">
        <v>5927</v>
      </c>
      <c r="Q270" s="5" t="s">
        <v>33</v>
      </c>
      <c r="R270" s="2">
        <v>198161.6</v>
      </c>
      <c r="S270" s="2">
        <v>40822.6</v>
      </c>
      <c r="T270" s="1">
        <v>45841</v>
      </c>
      <c r="U270" s="5">
        <v>7</v>
      </c>
    </row>
    <row r="271" spans="1:21" x14ac:dyDescent="0.3">
      <c r="A271" s="5" t="s">
        <v>332</v>
      </c>
      <c r="B271" s="1">
        <v>45875</v>
      </c>
      <c r="C271" s="5" t="s">
        <v>18</v>
      </c>
      <c r="D271" s="5" t="s">
        <v>28</v>
      </c>
      <c r="E271" s="5" t="s">
        <v>49</v>
      </c>
      <c r="F271" s="5" t="s">
        <v>75</v>
      </c>
      <c r="G271" s="5" t="s">
        <v>38</v>
      </c>
      <c r="H271" s="5" t="s">
        <v>51</v>
      </c>
      <c r="I271" s="5">
        <v>107</v>
      </c>
      <c r="J271" s="5">
        <v>2461</v>
      </c>
      <c r="K271" s="5">
        <v>3344.74</v>
      </c>
      <c r="L271" s="5">
        <v>113</v>
      </c>
      <c r="M271" s="5">
        <v>159</v>
      </c>
      <c r="N271" s="5">
        <v>9</v>
      </c>
      <c r="O271" s="5" t="s">
        <v>24</v>
      </c>
      <c r="P271" s="5">
        <v>3125</v>
      </c>
      <c r="Q271" s="5" t="s">
        <v>33</v>
      </c>
      <c r="R271" s="2">
        <v>357887.18</v>
      </c>
      <c r="S271" s="2">
        <v>94560.18</v>
      </c>
      <c r="T271" s="1">
        <v>45875</v>
      </c>
      <c r="U271" s="5">
        <v>8</v>
      </c>
    </row>
    <row r="272" spans="1:21" x14ac:dyDescent="0.3">
      <c r="A272" s="5" t="s">
        <v>333</v>
      </c>
      <c r="B272" s="1">
        <v>45756</v>
      </c>
      <c r="C272" s="5" t="s">
        <v>18</v>
      </c>
      <c r="D272" s="5" t="s">
        <v>28</v>
      </c>
      <c r="E272" s="5" t="s">
        <v>49</v>
      </c>
      <c r="F272" s="5" t="s">
        <v>75</v>
      </c>
      <c r="G272" s="5" t="s">
        <v>38</v>
      </c>
      <c r="H272" s="5" t="s">
        <v>51</v>
      </c>
      <c r="I272" s="5">
        <v>75</v>
      </c>
      <c r="J272" s="5">
        <v>2626</v>
      </c>
      <c r="K272" s="5">
        <v>3162.45</v>
      </c>
      <c r="L272" s="5">
        <v>1739</v>
      </c>
      <c r="M272" s="5">
        <v>286</v>
      </c>
      <c r="N272" s="5">
        <v>3</v>
      </c>
      <c r="O272" s="5" t="s">
        <v>32</v>
      </c>
      <c r="P272" s="5">
        <v>454</v>
      </c>
      <c r="Q272" s="5" t="s">
        <v>33</v>
      </c>
      <c r="R272" s="2">
        <v>237183.75</v>
      </c>
      <c r="S272" s="2">
        <v>40233.75</v>
      </c>
      <c r="T272" s="1">
        <v>45756</v>
      </c>
      <c r="U272" s="5">
        <v>4</v>
      </c>
    </row>
    <row r="273" spans="1:21" x14ac:dyDescent="0.3">
      <c r="A273" s="5" t="s">
        <v>334</v>
      </c>
      <c r="B273" s="1">
        <v>45771</v>
      </c>
      <c r="C273" s="5" t="s">
        <v>42</v>
      </c>
      <c r="D273" s="5" t="s">
        <v>28</v>
      </c>
      <c r="E273" s="5" t="s">
        <v>29</v>
      </c>
      <c r="F273" s="5" t="s">
        <v>69</v>
      </c>
      <c r="G273" s="5" t="s">
        <v>38</v>
      </c>
      <c r="H273" s="5" t="s">
        <v>39</v>
      </c>
      <c r="I273" s="5">
        <v>259</v>
      </c>
      <c r="J273" s="5">
        <v>2243</v>
      </c>
      <c r="K273" s="5">
        <v>2983.14</v>
      </c>
      <c r="L273" s="5">
        <v>709</v>
      </c>
      <c r="M273" s="5">
        <v>112</v>
      </c>
      <c r="N273" s="5">
        <v>6</v>
      </c>
      <c r="O273" s="5" t="s">
        <v>24</v>
      </c>
      <c r="P273" s="5">
        <v>1404</v>
      </c>
      <c r="Q273" s="5" t="s">
        <v>46</v>
      </c>
      <c r="R273" s="2">
        <v>772633.26</v>
      </c>
      <c r="S273" s="2">
        <v>191696.26</v>
      </c>
      <c r="T273" s="1">
        <v>45771</v>
      </c>
      <c r="U273" s="5">
        <v>4</v>
      </c>
    </row>
    <row r="274" spans="1:21" x14ac:dyDescent="0.3">
      <c r="A274" s="5" t="s">
        <v>335</v>
      </c>
      <c r="B274" s="1">
        <v>45760</v>
      </c>
      <c r="C274" s="5" t="s">
        <v>27</v>
      </c>
      <c r="D274" s="5" t="s">
        <v>53</v>
      </c>
      <c r="E274" s="5" t="s">
        <v>29</v>
      </c>
      <c r="F274" s="5" t="s">
        <v>43</v>
      </c>
      <c r="G274" s="5" t="s">
        <v>56</v>
      </c>
      <c r="H274" s="5" t="s">
        <v>51</v>
      </c>
      <c r="I274" s="5">
        <v>398</v>
      </c>
      <c r="J274" s="5">
        <v>3886</v>
      </c>
      <c r="K274" s="5">
        <v>4565.5200000000004</v>
      </c>
      <c r="L274" s="5">
        <v>1221</v>
      </c>
      <c r="M274" s="5">
        <v>244</v>
      </c>
      <c r="N274" s="5">
        <v>7</v>
      </c>
      <c r="O274" s="5" t="s">
        <v>24</v>
      </c>
      <c r="P274" s="5">
        <v>1398</v>
      </c>
      <c r="Q274" s="5" t="s">
        <v>25</v>
      </c>
      <c r="R274" s="2">
        <v>1817076.96</v>
      </c>
      <c r="S274" s="2">
        <v>270448.96000000002</v>
      </c>
      <c r="T274" s="1">
        <v>45760</v>
      </c>
      <c r="U274" s="5">
        <v>4</v>
      </c>
    </row>
    <row r="275" spans="1:21" x14ac:dyDescent="0.3">
      <c r="A275" s="5" t="s">
        <v>336</v>
      </c>
      <c r="B275" s="1">
        <v>45923</v>
      </c>
      <c r="C275" s="5" t="s">
        <v>27</v>
      </c>
      <c r="D275" s="5" t="s">
        <v>53</v>
      </c>
      <c r="E275" s="5" t="s">
        <v>29</v>
      </c>
      <c r="F275" s="5" t="s">
        <v>30</v>
      </c>
      <c r="G275" s="5" t="s">
        <v>38</v>
      </c>
      <c r="H275" s="5" t="s">
        <v>39</v>
      </c>
      <c r="I275" s="5">
        <v>393</v>
      </c>
      <c r="J275" s="5">
        <v>305</v>
      </c>
      <c r="K275" s="5">
        <v>455</v>
      </c>
      <c r="L275" s="5">
        <v>789</v>
      </c>
      <c r="M275" s="5">
        <v>146</v>
      </c>
      <c r="N275" s="5">
        <v>6</v>
      </c>
      <c r="O275" s="5" t="s">
        <v>24</v>
      </c>
      <c r="P275" s="5">
        <v>7414</v>
      </c>
      <c r="Q275" s="5" t="s">
        <v>33</v>
      </c>
      <c r="R275" s="2">
        <v>178815</v>
      </c>
      <c r="S275" s="2">
        <v>58950</v>
      </c>
      <c r="T275" s="1">
        <v>45923</v>
      </c>
      <c r="U275" s="5">
        <v>9</v>
      </c>
    </row>
    <row r="276" spans="1:21" x14ac:dyDescent="0.3">
      <c r="A276" s="5" t="s">
        <v>337</v>
      </c>
      <c r="B276" s="1">
        <v>45694</v>
      </c>
      <c r="C276" s="5" t="s">
        <v>27</v>
      </c>
      <c r="D276" s="5" t="s">
        <v>62</v>
      </c>
      <c r="E276" s="5" t="s">
        <v>29</v>
      </c>
      <c r="F276" s="5" t="s">
        <v>43</v>
      </c>
      <c r="G276" s="5" t="s">
        <v>56</v>
      </c>
      <c r="H276" s="5" t="s">
        <v>23</v>
      </c>
      <c r="I276" s="5">
        <v>147</v>
      </c>
      <c r="J276" s="5">
        <v>2858</v>
      </c>
      <c r="K276" s="5">
        <v>3844.75</v>
      </c>
      <c r="L276" s="5">
        <v>1387</v>
      </c>
      <c r="M276" s="5">
        <v>85</v>
      </c>
      <c r="N276" s="5">
        <v>1</v>
      </c>
      <c r="O276" s="5" t="s">
        <v>32</v>
      </c>
      <c r="P276" s="5">
        <v>6734</v>
      </c>
      <c r="Q276" s="5" t="s">
        <v>33</v>
      </c>
      <c r="R276" s="2">
        <v>565178.25</v>
      </c>
      <c r="S276" s="2">
        <v>145052.25</v>
      </c>
      <c r="T276" s="1">
        <v>45694</v>
      </c>
      <c r="U276" s="5">
        <v>2</v>
      </c>
    </row>
    <row r="277" spans="1:21" x14ac:dyDescent="0.3">
      <c r="A277" s="5" t="s">
        <v>338</v>
      </c>
      <c r="B277" s="1">
        <v>45960</v>
      </c>
      <c r="C277" s="5" t="s">
        <v>35</v>
      </c>
      <c r="D277" s="5" t="s">
        <v>36</v>
      </c>
      <c r="E277" s="5" t="s">
        <v>29</v>
      </c>
      <c r="F277" s="5" t="s">
        <v>58</v>
      </c>
      <c r="G277" s="5" t="s">
        <v>38</v>
      </c>
      <c r="H277" s="5" t="s">
        <v>39</v>
      </c>
      <c r="I277" s="5">
        <v>42</v>
      </c>
      <c r="J277" s="5">
        <v>836</v>
      </c>
      <c r="K277" s="5">
        <v>997.23</v>
      </c>
      <c r="L277" s="5">
        <v>1476</v>
      </c>
      <c r="M277" s="5">
        <v>235</v>
      </c>
      <c r="N277" s="5">
        <v>4</v>
      </c>
      <c r="O277" s="5" t="s">
        <v>32</v>
      </c>
      <c r="P277" s="5">
        <v>2982</v>
      </c>
      <c r="Q277" s="5" t="s">
        <v>33</v>
      </c>
      <c r="R277" s="2">
        <v>41883.660000000003</v>
      </c>
      <c r="S277" s="2">
        <v>6771.66</v>
      </c>
      <c r="T277" s="1">
        <v>45960</v>
      </c>
      <c r="U277" s="5">
        <v>10</v>
      </c>
    </row>
    <row r="278" spans="1:21" x14ac:dyDescent="0.3">
      <c r="A278" s="5" t="s">
        <v>339</v>
      </c>
      <c r="B278" s="1">
        <v>45987</v>
      </c>
      <c r="C278" s="5" t="s">
        <v>18</v>
      </c>
      <c r="D278" s="5" t="s">
        <v>62</v>
      </c>
      <c r="E278" s="5" t="s">
        <v>54</v>
      </c>
      <c r="F278" s="5" t="s">
        <v>78</v>
      </c>
      <c r="G278" s="5" t="s">
        <v>31</v>
      </c>
      <c r="H278" s="5" t="s">
        <v>51</v>
      </c>
      <c r="I278" s="5">
        <v>429</v>
      </c>
      <c r="J278" s="5">
        <v>1818</v>
      </c>
      <c r="K278" s="5">
        <v>2440.73</v>
      </c>
      <c r="L278" s="5">
        <v>138</v>
      </c>
      <c r="M278" s="5">
        <v>199</v>
      </c>
      <c r="N278" s="5">
        <v>9</v>
      </c>
      <c r="O278" s="5" t="s">
        <v>24</v>
      </c>
      <c r="P278" s="5">
        <v>5182</v>
      </c>
      <c r="Q278" s="5" t="s">
        <v>40</v>
      </c>
      <c r="R278" s="2">
        <v>1047073.17</v>
      </c>
      <c r="S278" s="2">
        <v>267151.17</v>
      </c>
      <c r="T278" s="1">
        <v>45987</v>
      </c>
      <c r="U278" s="5">
        <v>11</v>
      </c>
    </row>
    <row r="279" spans="1:21" x14ac:dyDescent="0.3">
      <c r="A279" s="5" t="s">
        <v>340</v>
      </c>
      <c r="B279" s="1">
        <v>45830</v>
      </c>
      <c r="C279" s="5" t="s">
        <v>35</v>
      </c>
      <c r="D279" s="5" t="s">
        <v>19</v>
      </c>
      <c r="E279" s="5" t="s">
        <v>20</v>
      </c>
      <c r="F279" s="5" t="s">
        <v>45</v>
      </c>
      <c r="G279" s="5" t="s">
        <v>22</v>
      </c>
      <c r="H279" s="5" t="s">
        <v>51</v>
      </c>
      <c r="I279" s="5">
        <v>23</v>
      </c>
      <c r="J279" s="5">
        <v>112</v>
      </c>
      <c r="K279" s="5">
        <v>161.97999999999999</v>
      </c>
      <c r="L279" s="5">
        <v>318</v>
      </c>
      <c r="M279" s="5">
        <v>149</v>
      </c>
      <c r="N279" s="5">
        <v>3</v>
      </c>
      <c r="O279" s="5" t="s">
        <v>32</v>
      </c>
      <c r="P279" s="5">
        <v>4170</v>
      </c>
      <c r="Q279" s="5" t="s">
        <v>33</v>
      </c>
      <c r="R279" s="2">
        <v>3725.54</v>
      </c>
      <c r="S279" s="2">
        <v>1149.54</v>
      </c>
      <c r="T279" s="1">
        <v>45830</v>
      </c>
      <c r="U279" s="5">
        <v>6</v>
      </c>
    </row>
    <row r="280" spans="1:21" x14ac:dyDescent="0.3">
      <c r="A280" s="5" t="s">
        <v>341</v>
      </c>
      <c r="B280" s="1">
        <v>45691</v>
      </c>
      <c r="C280" s="5" t="s">
        <v>18</v>
      </c>
      <c r="D280" s="5" t="s">
        <v>62</v>
      </c>
      <c r="E280" s="5" t="s">
        <v>29</v>
      </c>
      <c r="F280" s="5" t="s">
        <v>69</v>
      </c>
      <c r="G280" s="5" t="s">
        <v>56</v>
      </c>
      <c r="H280" s="5" t="s">
        <v>51</v>
      </c>
      <c r="I280" s="5">
        <v>36</v>
      </c>
      <c r="J280" s="5">
        <v>4514</v>
      </c>
      <c r="K280" s="5">
        <v>5208.6499999999996</v>
      </c>
      <c r="L280" s="5">
        <v>187</v>
      </c>
      <c r="M280" s="5">
        <v>226</v>
      </c>
      <c r="N280" s="5">
        <v>5</v>
      </c>
      <c r="O280" s="5" t="s">
        <v>32</v>
      </c>
      <c r="P280" s="5">
        <v>7504</v>
      </c>
      <c r="Q280" s="5" t="s">
        <v>33</v>
      </c>
      <c r="R280" s="2">
        <v>187511.4</v>
      </c>
      <c r="S280" s="2">
        <v>25007.4</v>
      </c>
      <c r="T280" s="1">
        <v>45691</v>
      </c>
      <c r="U280" s="5">
        <v>2</v>
      </c>
    </row>
    <row r="281" spans="1:21" x14ac:dyDescent="0.3">
      <c r="A281" s="5" t="s">
        <v>342</v>
      </c>
      <c r="B281" s="1">
        <v>46004</v>
      </c>
      <c r="C281" s="5" t="s">
        <v>35</v>
      </c>
      <c r="D281" s="5" t="s">
        <v>62</v>
      </c>
      <c r="E281" s="5" t="s">
        <v>54</v>
      </c>
      <c r="F281" s="5" t="s">
        <v>63</v>
      </c>
      <c r="G281" s="5" t="s">
        <v>31</v>
      </c>
      <c r="H281" s="5" t="s">
        <v>39</v>
      </c>
      <c r="I281" s="5">
        <v>261</v>
      </c>
      <c r="J281" s="5">
        <v>2650</v>
      </c>
      <c r="K281" s="5">
        <v>3675.77</v>
      </c>
      <c r="L281" s="5">
        <v>616</v>
      </c>
      <c r="M281" s="5">
        <v>101</v>
      </c>
      <c r="N281" s="5">
        <v>5</v>
      </c>
      <c r="O281" s="5" t="s">
        <v>24</v>
      </c>
      <c r="P281" s="5">
        <v>5428</v>
      </c>
      <c r="Q281" s="5" t="s">
        <v>33</v>
      </c>
      <c r="R281" s="2">
        <v>959375.97</v>
      </c>
      <c r="S281" s="2">
        <v>267725.96999999997</v>
      </c>
      <c r="T281" s="1">
        <v>46004</v>
      </c>
      <c r="U281" s="5">
        <v>12</v>
      </c>
    </row>
    <row r="282" spans="1:21" x14ac:dyDescent="0.3">
      <c r="A282" s="5" t="s">
        <v>343</v>
      </c>
      <c r="B282" s="1">
        <v>45798</v>
      </c>
      <c r="C282" s="5" t="s">
        <v>27</v>
      </c>
      <c r="D282" s="5" t="s">
        <v>28</v>
      </c>
      <c r="E282" s="5" t="s">
        <v>54</v>
      </c>
      <c r="F282" s="5" t="s">
        <v>63</v>
      </c>
      <c r="G282" s="5" t="s">
        <v>38</v>
      </c>
      <c r="H282" s="5" t="s">
        <v>23</v>
      </c>
      <c r="I282" s="5">
        <v>445</v>
      </c>
      <c r="J282" s="5">
        <v>3015</v>
      </c>
      <c r="K282" s="5">
        <v>4167.22</v>
      </c>
      <c r="L282" s="5">
        <v>659</v>
      </c>
      <c r="M282" s="5">
        <v>198</v>
      </c>
      <c r="N282" s="5">
        <v>8</v>
      </c>
      <c r="O282" s="5" t="s">
        <v>24</v>
      </c>
      <c r="P282" s="5">
        <v>427</v>
      </c>
      <c r="Q282" s="5" t="s">
        <v>46</v>
      </c>
      <c r="R282" s="2">
        <v>1854412.9</v>
      </c>
      <c r="S282" s="2">
        <v>512737.9</v>
      </c>
      <c r="T282" s="1">
        <v>45798</v>
      </c>
      <c r="U282" s="5">
        <v>5</v>
      </c>
    </row>
    <row r="283" spans="1:21" x14ac:dyDescent="0.3">
      <c r="A283" s="5" t="s">
        <v>344</v>
      </c>
      <c r="B283" s="1">
        <v>45892</v>
      </c>
      <c r="C283" s="5" t="s">
        <v>18</v>
      </c>
      <c r="D283" s="5" t="s">
        <v>36</v>
      </c>
      <c r="E283" s="5" t="s">
        <v>49</v>
      </c>
      <c r="F283" s="5" t="s">
        <v>50</v>
      </c>
      <c r="G283" s="5" t="s">
        <v>22</v>
      </c>
      <c r="H283" s="5" t="s">
        <v>39</v>
      </c>
      <c r="I283" s="5">
        <v>276</v>
      </c>
      <c r="J283" s="5">
        <v>4675</v>
      </c>
      <c r="K283" s="5">
        <v>6153.75</v>
      </c>
      <c r="L283" s="5">
        <v>606</v>
      </c>
      <c r="M283" s="5">
        <v>234</v>
      </c>
      <c r="N283" s="5">
        <v>6</v>
      </c>
      <c r="O283" s="5" t="s">
        <v>24</v>
      </c>
      <c r="P283" s="5">
        <v>5313</v>
      </c>
      <c r="Q283" s="5" t="s">
        <v>40</v>
      </c>
      <c r="R283" s="2">
        <v>1698435</v>
      </c>
      <c r="S283" s="2">
        <v>408135</v>
      </c>
      <c r="T283" s="1">
        <v>45892</v>
      </c>
      <c r="U283" s="5">
        <v>8</v>
      </c>
    </row>
    <row r="284" spans="1:21" x14ac:dyDescent="0.3">
      <c r="A284" s="5" t="s">
        <v>345</v>
      </c>
      <c r="B284" s="1">
        <v>45790</v>
      </c>
      <c r="C284" s="5" t="s">
        <v>35</v>
      </c>
      <c r="D284" s="5" t="s">
        <v>19</v>
      </c>
      <c r="E284" s="5" t="s">
        <v>49</v>
      </c>
      <c r="F284" s="5" t="s">
        <v>50</v>
      </c>
      <c r="G284" s="5" t="s">
        <v>38</v>
      </c>
      <c r="H284" s="5" t="s">
        <v>23</v>
      </c>
      <c r="I284" s="5">
        <v>388</v>
      </c>
      <c r="J284" s="5">
        <v>3989</v>
      </c>
      <c r="K284" s="5">
        <v>5870.77</v>
      </c>
      <c r="L284" s="5">
        <v>77</v>
      </c>
      <c r="M284" s="5">
        <v>105</v>
      </c>
      <c r="N284" s="5">
        <v>7</v>
      </c>
      <c r="O284" s="5" t="s">
        <v>24</v>
      </c>
      <c r="P284" s="5">
        <v>2639</v>
      </c>
      <c r="Q284" s="5" t="s">
        <v>40</v>
      </c>
      <c r="R284" s="2">
        <v>2277858.7599999998</v>
      </c>
      <c r="S284" s="2">
        <v>730126.76</v>
      </c>
      <c r="T284" s="1">
        <v>45790</v>
      </c>
      <c r="U284" s="5">
        <v>5</v>
      </c>
    </row>
    <row r="285" spans="1:21" x14ac:dyDescent="0.3">
      <c r="A285" s="5" t="s">
        <v>346</v>
      </c>
      <c r="B285" s="1">
        <v>45851</v>
      </c>
      <c r="C285" s="5" t="s">
        <v>35</v>
      </c>
      <c r="D285" s="5" t="s">
        <v>36</v>
      </c>
      <c r="E285" s="5" t="s">
        <v>29</v>
      </c>
      <c r="F285" s="5" t="s">
        <v>58</v>
      </c>
      <c r="G285" s="5" t="s">
        <v>31</v>
      </c>
      <c r="H285" s="5" t="s">
        <v>51</v>
      </c>
      <c r="I285" s="5">
        <v>90</v>
      </c>
      <c r="J285" s="5">
        <v>414</v>
      </c>
      <c r="K285" s="5">
        <v>593.09</v>
      </c>
      <c r="L285" s="5">
        <v>523</v>
      </c>
      <c r="M285" s="5">
        <v>213</v>
      </c>
      <c r="N285" s="5">
        <v>3</v>
      </c>
      <c r="O285" s="5" t="s">
        <v>32</v>
      </c>
      <c r="P285" s="5">
        <v>7866</v>
      </c>
      <c r="Q285" s="5" t="s">
        <v>33</v>
      </c>
      <c r="R285" s="2">
        <v>53378.1</v>
      </c>
      <c r="S285" s="2">
        <v>16118.1</v>
      </c>
      <c r="T285" s="1">
        <v>45851</v>
      </c>
      <c r="U285" s="5">
        <v>7</v>
      </c>
    </row>
    <row r="286" spans="1:21" x14ac:dyDescent="0.3">
      <c r="A286" s="5" t="s">
        <v>347</v>
      </c>
      <c r="B286" s="1">
        <v>45818</v>
      </c>
      <c r="C286" s="5" t="s">
        <v>42</v>
      </c>
      <c r="D286" s="5" t="s">
        <v>62</v>
      </c>
      <c r="E286" s="5" t="s">
        <v>20</v>
      </c>
      <c r="F286" s="5" t="s">
        <v>45</v>
      </c>
      <c r="G286" s="5" t="s">
        <v>38</v>
      </c>
      <c r="H286" s="5" t="s">
        <v>51</v>
      </c>
      <c r="I286" s="5">
        <v>369</v>
      </c>
      <c r="J286" s="5">
        <v>2857</v>
      </c>
      <c r="K286" s="5">
        <v>3976.3</v>
      </c>
      <c r="L286" s="5">
        <v>1574</v>
      </c>
      <c r="M286" s="5">
        <v>254</v>
      </c>
      <c r="N286" s="5">
        <v>9</v>
      </c>
      <c r="O286" s="5" t="s">
        <v>24</v>
      </c>
      <c r="P286" s="5">
        <v>4384</v>
      </c>
      <c r="Q286" s="5" t="s">
        <v>25</v>
      </c>
      <c r="R286" s="2">
        <v>1467254.7</v>
      </c>
      <c r="S286" s="2">
        <v>413021.7</v>
      </c>
      <c r="T286" s="1">
        <v>45818</v>
      </c>
      <c r="U286" s="5">
        <v>6</v>
      </c>
    </row>
    <row r="287" spans="1:21" x14ac:dyDescent="0.3">
      <c r="A287" s="5" t="s">
        <v>348</v>
      </c>
      <c r="B287" s="1">
        <v>45854</v>
      </c>
      <c r="C287" s="5" t="s">
        <v>27</v>
      </c>
      <c r="D287" s="5" t="s">
        <v>36</v>
      </c>
      <c r="E287" s="5" t="s">
        <v>29</v>
      </c>
      <c r="F287" s="5" t="s">
        <v>43</v>
      </c>
      <c r="G287" s="5" t="s">
        <v>38</v>
      </c>
      <c r="H287" s="5" t="s">
        <v>39</v>
      </c>
      <c r="I287" s="5">
        <v>447</v>
      </c>
      <c r="J287" s="5">
        <v>4150</v>
      </c>
      <c r="K287" s="5">
        <v>6103.87</v>
      </c>
      <c r="L287" s="5">
        <v>1920</v>
      </c>
      <c r="M287" s="5">
        <v>125</v>
      </c>
      <c r="N287" s="5">
        <v>9</v>
      </c>
      <c r="O287" s="5" t="s">
        <v>24</v>
      </c>
      <c r="P287" s="5">
        <v>5205</v>
      </c>
      <c r="Q287" s="5" t="s">
        <v>33</v>
      </c>
      <c r="R287" s="2">
        <v>2728429.89</v>
      </c>
      <c r="S287" s="2">
        <v>873379.89</v>
      </c>
      <c r="T287" s="1">
        <v>45854</v>
      </c>
      <c r="U287" s="5">
        <v>7</v>
      </c>
    </row>
    <row r="288" spans="1:21" x14ac:dyDescent="0.3">
      <c r="A288" s="5" t="s">
        <v>349</v>
      </c>
      <c r="B288" s="1">
        <v>45910</v>
      </c>
      <c r="C288" s="5" t="s">
        <v>35</v>
      </c>
      <c r="D288" s="5" t="s">
        <v>53</v>
      </c>
      <c r="E288" s="5" t="s">
        <v>29</v>
      </c>
      <c r="F288" s="5" t="s">
        <v>30</v>
      </c>
      <c r="G288" s="5" t="s">
        <v>31</v>
      </c>
      <c r="H288" s="5" t="s">
        <v>51</v>
      </c>
      <c r="I288" s="5">
        <v>48</v>
      </c>
      <c r="J288" s="5">
        <v>4252</v>
      </c>
      <c r="K288" s="5">
        <v>5257.29</v>
      </c>
      <c r="L288" s="5">
        <v>88</v>
      </c>
      <c r="M288" s="5">
        <v>290</v>
      </c>
      <c r="N288" s="5">
        <v>6</v>
      </c>
      <c r="O288" s="5" t="s">
        <v>24</v>
      </c>
      <c r="P288" s="5">
        <v>874</v>
      </c>
      <c r="Q288" s="5" t="s">
        <v>40</v>
      </c>
      <c r="R288" s="2">
        <v>252349.92</v>
      </c>
      <c r="S288" s="2">
        <v>48253.919999999998</v>
      </c>
      <c r="T288" s="1">
        <v>45910</v>
      </c>
      <c r="U288" s="5">
        <v>9</v>
      </c>
    </row>
    <row r="289" spans="1:21" x14ac:dyDescent="0.3">
      <c r="A289" s="5" t="s">
        <v>350</v>
      </c>
      <c r="B289" s="1">
        <v>45820</v>
      </c>
      <c r="C289" s="5" t="s">
        <v>35</v>
      </c>
      <c r="D289" s="5" t="s">
        <v>62</v>
      </c>
      <c r="E289" s="5" t="s">
        <v>20</v>
      </c>
      <c r="F289" s="5" t="s">
        <v>45</v>
      </c>
      <c r="G289" s="5" t="s">
        <v>56</v>
      </c>
      <c r="H289" s="5" t="s">
        <v>51</v>
      </c>
      <c r="I289" s="5">
        <v>414</v>
      </c>
      <c r="J289" s="5">
        <v>1148</v>
      </c>
      <c r="K289" s="5">
        <v>1412.17</v>
      </c>
      <c r="L289" s="5">
        <v>1834</v>
      </c>
      <c r="M289" s="5">
        <v>133</v>
      </c>
      <c r="N289" s="5">
        <v>10</v>
      </c>
      <c r="O289" s="5" t="s">
        <v>24</v>
      </c>
      <c r="P289" s="5">
        <v>2647</v>
      </c>
      <c r="Q289" s="5" t="s">
        <v>25</v>
      </c>
      <c r="R289" s="2">
        <v>584638.38</v>
      </c>
      <c r="S289" s="2">
        <v>109366.38</v>
      </c>
      <c r="T289" s="1">
        <v>45820</v>
      </c>
      <c r="U289" s="5">
        <v>6</v>
      </c>
    </row>
    <row r="290" spans="1:21" x14ac:dyDescent="0.3">
      <c r="A290" s="5" t="s">
        <v>351</v>
      </c>
      <c r="B290" s="1">
        <v>45926</v>
      </c>
      <c r="C290" s="5" t="s">
        <v>18</v>
      </c>
      <c r="D290" s="5" t="s">
        <v>36</v>
      </c>
      <c r="E290" s="5" t="s">
        <v>54</v>
      </c>
      <c r="F290" s="5" t="s">
        <v>63</v>
      </c>
      <c r="G290" s="5" t="s">
        <v>22</v>
      </c>
      <c r="H290" s="5" t="s">
        <v>51</v>
      </c>
      <c r="I290" s="5">
        <v>372</v>
      </c>
      <c r="J290" s="5">
        <v>3859</v>
      </c>
      <c r="K290" s="5">
        <v>5055.1099999999997</v>
      </c>
      <c r="L290" s="5">
        <v>1827</v>
      </c>
      <c r="M290" s="5">
        <v>88</v>
      </c>
      <c r="N290" s="5">
        <v>10</v>
      </c>
      <c r="O290" s="5" t="s">
        <v>24</v>
      </c>
      <c r="P290" s="5">
        <v>4810</v>
      </c>
      <c r="Q290" s="5" t="s">
        <v>46</v>
      </c>
      <c r="R290" s="2">
        <v>1880500.92</v>
      </c>
      <c r="S290" s="2">
        <v>444952.92</v>
      </c>
      <c r="T290" s="1">
        <v>45926</v>
      </c>
      <c r="U290" s="5">
        <v>9</v>
      </c>
    </row>
    <row r="291" spans="1:21" x14ac:dyDescent="0.3">
      <c r="A291" s="5" t="s">
        <v>352</v>
      </c>
      <c r="B291" s="1">
        <v>45891</v>
      </c>
      <c r="C291" s="5" t="s">
        <v>42</v>
      </c>
      <c r="D291" s="5" t="s">
        <v>28</v>
      </c>
      <c r="E291" s="5" t="s">
        <v>20</v>
      </c>
      <c r="F291" s="5" t="s">
        <v>21</v>
      </c>
      <c r="G291" s="5" t="s">
        <v>38</v>
      </c>
      <c r="H291" s="5" t="s">
        <v>23</v>
      </c>
      <c r="I291" s="5">
        <v>86</v>
      </c>
      <c r="J291" s="5">
        <v>1485</v>
      </c>
      <c r="K291" s="5">
        <v>1736.58</v>
      </c>
      <c r="L291" s="5">
        <v>1572</v>
      </c>
      <c r="M291" s="5">
        <v>300</v>
      </c>
      <c r="N291" s="5">
        <v>7</v>
      </c>
      <c r="O291" s="5" t="s">
        <v>24</v>
      </c>
      <c r="P291" s="5">
        <v>3390</v>
      </c>
      <c r="Q291" s="5" t="s">
        <v>46</v>
      </c>
      <c r="R291" s="2">
        <v>149345.88</v>
      </c>
      <c r="S291" s="2">
        <v>21635.88</v>
      </c>
      <c r="T291" s="1">
        <v>45891</v>
      </c>
      <c r="U291" s="5">
        <v>8</v>
      </c>
    </row>
    <row r="292" spans="1:21" x14ac:dyDescent="0.3">
      <c r="A292" s="5" t="s">
        <v>353</v>
      </c>
      <c r="B292" s="1">
        <v>46017</v>
      </c>
      <c r="C292" s="5" t="s">
        <v>18</v>
      </c>
      <c r="D292" s="5" t="s">
        <v>28</v>
      </c>
      <c r="E292" s="5" t="s">
        <v>54</v>
      </c>
      <c r="F292" s="5" t="s">
        <v>81</v>
      </c>
      <c r="G292" s="5" t="s">
        <v>56</v>
      </c>
      <c r="H292" s="5" t="s">
        <v>51</v>
      </c>
      <c r="I292" s="5">
        <v>297</v>
      </c>
      <c r="J292" s="5">
        <v>2296</v>
      </c>
      <c r="K292" s="5">
        <v>2645.11</v>
      </c>
      <c r="L292" s="5">
        <v>1784</v>
      </c>
      <c r="M292" s="5">
        <v>240</v>
      </c>
      <c r="N292" s="5">
        <v>2</v>
      </c>
      <c r="O292" s="5" t="s">
        <v>32</v>
      </c>
      <c r="P292" s="5">
        <v>6032</v>
      </c>
      <c r="Q292" s="5" t="s">
        <v>33</v>
      </c>
      <c r="R292" s="2">
        <v>785597.67</v>
      </c>
      <c r="S292" s="2">
        <v>103685.67</v>
      </c>
      <c r="T292" s="1">
        <v>46017</v>
      </c>
      <c r="U292" s="5">
        <v>12</v>
      </c>
    </row>
    <row r="293" spans="1:21" x14ac:dyDescent="0.3">
      <c r="A293" s="5" t="s">
        <v>354</v>
      </c>
      <c r="B293" s="1">
        <v>46016</v>
      </c>
      <c r="C293" s="5" t="s">
        <v>35</v>
      </c>
      <c r="D293" s="5" t="s">
        <v>36</v>
      </c>
      <c r="E293" s="5" t="s">
        <v>29</v>
      </c>
      <c r="F293" s="5" t="s">
        <v>43</v>
      </c>
      <c r="G293" s="5" t="s">
        <v>22</v>
      </c>
      <c r="H293" s="5" t="s">
        <v>23</v>
      </c>
      <c r="I293" s="5">
        <v>16</v>
      </c>
      <c r="J293" s="5">
        <v>4523</v>
      </c>
      <c r="K293" s="5">
        <v>5635.72</v>
      </c>
      <c r="L293" s="5">
        <v>1445</v>
      </c>
      <c r="M293" s="5">
        <v>99</v>
      </c>
      <c r="N293" s="5">
        <v>8</v>
      </c>
      <c r="O293" s="5" t="s">
        <v>24</v>
      </c>
      <c r="P293" s="5">
        <v>7156</v>
      </c>
      <c r="Q293" s="5" t="s">
        <v>46</v>
      </c>
      <c r="R293" s="2">
        <v>90171.520000000004</v>
      </c>
      <c r="S293" s="2">
        <v>17803.52</v>
      </c>
      <c r="T293" s="1">
        <v>46016</v>
      </c>
      <c r="U293" s="5">
        <v>12</v>
      </c>
    </row>
    <row r="294" spans="1:21" x14ac:dyDescent="0.3">
      <c r="A294" s="5" t="s">
        <v>355</v>
      </c>
      <c r="B294" s="1">
        <v>45879</v>
      </c>
      <c r="C294" s="5" t="s">
        <v>27</v>
      </c>
      <c r="D294" s="5" t="s">
        <v>28</v>
      </c>
      <c r="E294" s="5" t="s">
        <v>54</v>
      </c>
      <c r="F294" s="5" t="s">
        <v>78</v>
      </c>
      <c r="G294" s="5" t="s">
        <v>31</v>
      </c>
      <c r="H294" s="5" t="s">
        <v>51</v>
      </c>
      <c r="I294" s="5">
        <v>73</v>
      </c>
      <c r="J294" s="5">
        <v>345</v>
      </c>
      <c r="K294" s="5">
        <v>408.05</v>
      </c>
      <c r="L294" s="5">
        <v>876</v>
      </c>
      <c r="M294" s="5">
        <v>162</v>
      </c>
      <c r="N294" s="5">
        <v>2</v>
      </c>
      <c r="O294" s="5" t="s">
        <v>32</v>
      </c>
      <c r="P294" s="5">
        <v>3255</v>
      </c>
      <c r="Q294" s="5" t="s">
        <v>33</v>
      </c>
      <c r="R294" s="2">
        <v>29787.65</v>
      </c>
      <c r="S294" s="2">
        <v>4602.6499999999996</v>
      </c>
      <c r="T294" s="1">
        <v>45879</v>
      </c>
      <c r="U294" s="5">
        <v>8</v>
      </c>
    </row>
    <row r="295" spans="1:21" x14ac:dyDescent="0.3">
      <c r="A295" s="5" t="s">
        <v>356</v>
      </c>
      <c r="B295" s="1">
        <v>45960</v>
      </c>
      <c r="C295" s="5" t="s">
        <v>35</v>
      </c>
      <c r="D295" s="5" t="s">
        <v>62</v>
      </c>
      <c r="E295" s="5" t="s">
        <v>54</v>
      </c>
      <c r="F295" s="5" t="s">
        <v>81</v>
      </c>
      <c r="G295" s="5" t="s">
        <v>22</v>
      </c>
      <c r="H295" s="5" t="s">
        <v>39</v>
      </c>
      <c r="I295" s="5">
        <v>298</v>
      </c>
      <c r="J295" s="5">
        <v>1482</v>
      </c>
      <c r="K295" s="5">
        <v>2089.98</v>
      </c>
      <c r="L295" s="5">
        <v>1359</v>
      </c>
      <c r="M295" s="5">
        <v>272</v>
      </c>
      <c r="N295" s="5">
        <v>6</v>
      </c>
      <c r="O295" s="5" t="s">
        <v>24</v>
      </c>
      <c r="P295" s="5">
        <v>1464</v>
      </c>
      <c r="Q295" s="5" t="s">
        <v>25</v>
      </c>
      <c r="R295" s="2">
        <v>622814.04</v>
      </c>
      <c r="S295" s="2">
        <v>181178.04</v>
      </c>
      <c r="T295" s="1">
        <v>45960</v>
      </c>
      <c r="U295" s="5">
        <v>10</v>
      </c>
    </row>
    <row r="296" spans="1:21" x14ac:dyDescent="0.3">
      <c r="A296" s="5" t="s">
        <v>357</v>
      </c>
      <c r="B296" s="1">
        <v>45708</v>
      </c>
      <c r="C296" s="5" t="s">
        <v>27</v>
      </c>
      <c r="D296" s="5" t="s">
        <v>53</v>
      </c>
      <c r="E296" s="5" t="s">
        <v>20</v>
      </c>
      <c r="F296" s="5" t="s">
        <v>100</v>
      </c>
      <c r="G296" s="5" t="s">
        <v>22</v>
      </c>
      <c r="H296" s="5" t="s">
        <v>23</v>
      </c>
      <c r="I296" s="5">
        <v>271</v>
      </c>
      <c r="J296" s="5">
        <v>3656</v>
      </c>
      <c r="K296" s="5">
        <v>4693.4799999999996</v>
      </c>
      <c r="L296" s="5">
        <v>551</v>
      </c>
      <c r="M296" s="5">
        <v>90</v>
      </c>
      <c r="N296" s="5">
        <v>9</v>
      </c>
      <c r="O296" s="5" t="s">
        <v>24</v>
      </c>
      <c r="P296" s="5">
        <v>1158</v>
      </c>
      <c r="Q296" s="5" t="s">
        <v>33</v>
      </c>
      <c r="R296" s="2">
        <v>1271933.08</v>
      </c>
      <c r="S296" s="2">
        <v>281157.08</v>
      </c>
      <c r="T296" s="1">
        <v>45708</v>
      </c>
      <c r="U296" s="5">
        <v>2</v>
      </c>
    </row>
    <row r="297" spans="1:21" x14ac:dyDescent="0.3">
      <c r="A297" s="5" t="s">
        <v>358</v>
      </c>
      <c r="B297" s="1">
        <v>45869</v>
      </c>
      <c r="C297" s="5" t="s">
        <v>42</v>
      </c>
      <c r="D297" s="5" t="s">
        <v>62</v>
      </c>
      <c r="E297" s="5" t="s">
        <v>49</v>
      </c>
      <c r="F297" s="5" t="s">
        <v>94</v>
      </c>
      <c r="G297" s="5" t="s">
        <v>56</v>
      </c>
      <c r="H297" s="5" t="s">
        <v>39</v>
      </c>
      <c r="I297" s="5">
        <v>26</v>
      </c>
      <c r="J297" s="5">
        <v>1870</v>
      </c>
      <c r="K297" s="5">
        <v>2617.8200000000002</v>
      </c>
      <c r="L297" s="5">
        <v>1831</v>
      </c>
      <c r="M297" s="5">
        <v>186</v>
      </c>
      <c r="N297" s="5">
        <v>5</v>
      </c>
      <c r="O297" s="5" t="s">
        <v>32</v>
      </c>
      <c r="P297" s="5">
        <v>5669</v>
      </c>
      <c r="Q297" s="5" t="s">
        <v>33</v>
      </c>
      <c r="R297" s="2">
        <v>68063.320000000007</v>
      </c>
      <c r="S297" s="2">
        <v>19443.32</v>
      </c>
      <c r="T297" s="1">
        <v>45869</v>
      </c>
      <c r="U297" s="5">
        <v>7</v>
      </c>
    </row>
    <row r="298" spans="1:21" x14ac:dyDescent="0.3">
      <c r="A298" s="5" t="s">
        <v>359</v>
      </c>
      <c r="B298" s="1">
        <v>45776</v>
      </c>
      <c r="C298" s="5" t="s">
        <v>18</v>
      </c>
      <c r="D298" s="5" t="s">
        <v>28</v>
      </c>
      <c r="E298" s="5" t="s">
        <v>29</v>
      </c>
      <c r="F298" s="5" t="s">
        <v>58</v>
      </c>
      <c r="G298" s="5" t="s">
        <v>22</v>
      </c>
      <c r="H298" s="5" t="s">
        <v>39</v>
      </c>
      <c r="I298" s="5">
        <v>206</v>
      </c>
      <c r="J298" s="5">
        <v>3809</v>
      </c>
      <c r="K298" s="5">
        <v>4404.68</v>
      </c>
      <c r="L298" s="5">
        <v>780</v>
      </c>
      <c r="M298" s="5">
        <v>171</v>
      </c>
      <c r="N298" s="5">
        <v>4</v>
      </c>
      <c r="O298" s="5" t="s">
        <v>32</v>
      </c>
      <c r="P298" s="5">
        <v>3264</v>
      </c>
      <c r="Q298" s="5" t="s">
        <v>33</v>
      </c>
      <c r="R298" s="2">
        <v>907364.08</v>
      </c>
      <c r="S298" s="2">
        <v>122710.08</v>
      </c>
      <c r="T298" s="1">
        <v>45776</v>
      </c>
      <c r="U298" s="5">
        <v>4</v>
      </c>
    </row>
    <row r="299" spans="1:21" x14ac:dyDescent="0.3">
      <c r="A299" s="5" t="s">
        <v>360</v>
      </c>
      <c r="B299" s="1">
        <v>45823</v>
      </c>
      <c r="C299" s="5" t="s">
        <v>18</v>
      </c>
      <c r="D299" s="5" t="s">
        <v>53</v>
      </c>
      <c r="E299" s="5" t="s">
        <v>54</v>
      </c>
      <c r="F299" s="5" t="s">
        <v>78</v>
      </c>
      <c r="G299" s="5" t="s">
        <v>38</v>
      </c>
      <c r="H299" s="5" t="s">
        <v>23</v>
      </c>
      <c r="I299" s="5">
        <v>98</v>
      </c>
      <c r="J299" s="5">
        <v>4014</v>
      </c>
      <c r="K299" s="5">
        <v>5713.3</v>
      </c>
      <c r="L299" s="5">
        <v>128</v>
      </c>
      <c r="M299" s="5">
        <v>269</v>
      </c>
      <c r="N299" s="5">
        <v>9</v>
      </c>
      <c r="O299" s="5" t="s">
        <v>24</v>
      </c>
      <c r="P299" s="5">
        <v>1387</v>
      </c>
      <c r="Q299" s="5" t="s">
        <v>40</v>
      </c>
      <c r="R299" s="2">
        <v>559903.4</v>
      </c>
      <c r="S299" s="2">
        <v>166531.4</v>
      </c>
      <c r="T299" s="1">
        <v>45823</v>
      </c>
      <c r="U299" s="5">
        <v>6</v>
      </c>
    </row>
    <row r="300" spans="1:21" x14ac:dyDescent="0.3">
      <c r="A300" s="5" t="s">
        <v>361</v>
      </c>
      <c r="B300" s="1">
        <v>45934</v>
      </c>
      <c r="C300" s="5" t="s">
        <v>35</v>
      </c>
      <c r="D300" s="5" t="s">
        <v>62</v>
      </c>
      <c r="E300" s="5" t="s">
        <v>29</v>
      </c>
      <c r="F300" s="5" t="s">
        <v>73</v>
      </c>
      <c r="G300" s="5" t="s">
        <v>38</v>
      </c>
      <c r="H300" s="5" t="s">
        <v>39</v>
      </c>
      <c r="I300" s="5">
        <v>439</v>
      </c>
      <c r="J300" s="5">
        <v>1691</v>
      </c>
      <c r="K300" s="5">
        <v>2013.56</v>
      </c>
      <c r="L300" s="5">
        <v>979</v>
      </c>
      <c r="M300" s="5">
        <v>284</v>
      </c>
      <c r="N300" s="5">
        <v>3</v>
      </c>
      <c r="O300" s="5" t="s">
        <v>32</v>
      </c>
      <c r="P300" s="5">
        <v>3029</v>
      </c>
      <c r="Q300" s="5" t="s">
        <v>33</v>
      </c>
      <c r="R300" s="2">
        <v>883952.84</v>
      </c>
      <c r="S300" s="2">
        <v>141603.84</v>
      </c>
      <c r="T300" s="1">
        <v>45934</v>
      </c>
      <c r="U300" s="5">
        <v>10</v>
      </c>
    </row>
    <row r="301" spans="1:21" x14ac:dyDescent="0.3">
      <c r="A301" s="5" t="s">
        <v>362</v>
      </c>
      <c r="B301" s="1">
        <v>45970</v>
      </c>
      <c r="C301" s="5" t="s">
        <v>42</v>
      </c>
      <c r="D301" s="5" t="s">
        <v>28</v>
      </c>
      <c r="E301" s="5" t="s">
        <v>20</v>
      </c>
      <c r="F301" s="5" t="s">
        <v>21</v>
      </c>
      <c r="G301" s="5" t="s">
        <v>38</v>
      </c>
      <c r="H301" s="5" t="s">
        <v>39</v>
      </c>
      <c r="I301" s="5">
        <v>110</v>
      </c>
      <c r="J301" s="5">
        <v>1118</v>
      </c>
      <c r="K301" s="5">
        <v>1399.36</v>
      </c>
      <c r="L301" s="5">
        <v>1466</v>
      </c>
      <c r="M301" s="5">
        <v>235</v>
      </c>
      <c r="N301" s="5">
        <v>5</v>
      </c>
      <c r="O301" s="5" t="s">
        <v>32</v>
      </c>
      <c r="P301" s="5">
        <v>5669</v>
      </c>
      <c r="Q301" s="5" t="s">
        <v>33</v>
      </c>
      <c r="R301" s="2">
        <v>153929.60000000001</v>
      </c>
      <c r="S301" s="2">
        <v>30949.599999999999</v>
      </c>
      <c r="T301" s="1">
        <v>45970</v>
      </c>
      <c r="U301" s="5">
        <v>11</v>
      </c>
    </row>
    <row r="302" spans="1:21" x14ac:dyDescent="0.3">
      <c r="A302" s="5" t="s">
        <v>363</v>
      </c>
      <c r="B302" s="1">
        <v>45686</v>
      </c>
      <c r="C302" s="5" t="s">
        <v>27</v>
      </c>
      <c r="D302" s="5" t="s">
        <v>62</v>
      </c>
      <c r="E302" s="5" t="s">
        <v>29</v>
      </c>
      <c r="F302" s="5" t="s">
        <v>69</v>
      </c>
      <c r="G302" s="5" t="s">
        <v>31</v>
      </c>
      <c r="H302" s="5" t="s">
        <v>51</v>
      </c>
      <c r="I302" s="5">
        <v>57</v>
      </c>
      <c r="J302" s="5">
        <v>2560</v>
      </c>
      <c r="K302" s="5">
        <v>3571.89</v>
      </c>
      <c r="L302" s="5">
        <v>2000</v>
      </c>
      <c r="M302" s="5">
        <v>183</v>
      </c>
      <c r="N302" s="5">
        <v>5</v>
      </c>
      <c r="O302" s="5" t="s">
        <v>32</v>
      </c>
      <c r="P302" s="5">
        <v>4694</v>
      </c>
      <c r="Q302" s="5" t="s">
        <v>33</v>
      </c>
      <c r="R302" s="2">
        <v>203597.73</v>
      </c>
      <c r="S302" s="2">
        <v>57677.73</v>
      </c>
      <c r="T302" s="1">
        <v>45686</v>
      </c>
      <c r="U302" s="5">
        <v>1</v>
      </c>
    </row>
    <row r="303" spans="1:21" x14ac:dyDescent="0.3">
      <c r="A303" s="5" t="s">
        <v>364</v>
      </c>
      <c r="B303" s="1">
        <v>46005</v>
      </c>
      <c r="C303" s="5" t="s">
        <v>18</v>
      </c>
      <c r="D303" s="5" t="s">
        <v>28</v>
      </c>
      <c r="E303" s="5" t="s">
        <v>29</v>
      </c>
      <c r="F303" s="5" t="s">
        <v>73</v>
      </c>
      <c r="G303" s="5" t="s">
        <v>56</v>
      </c>
      <c r="H303" s="5" t="s">
        <v>39</v>
      </c>
      <c r="I303" s="5">
        <v>473</v>
      </c>
      <c r="J303" s="5">
        <v>2202</v>
      </c>
      <c r="K303" s="5">
        <v>2953.62</v>
      </c>
      <c r="L303" s="5">
        <v>960</v>
      </c>
      <c r="M303" s="5">
        <v>98</v>
      </c>
      <c r="N303" s="5">
        <v>8</v>
      </c>
      <c r="O303" s="5" t="s">
        <v>24</v>
      </c>
      <c r="P303" s="5">
        <v>5146</v>
      </c>
      <c r="Q303" s="5" t="s">
        <v>25</v>
      </c>
      <c r="R303" s="2">
        <v>1397062.26</v>
      </c>
      <c r="S303" s="2">
        <v>355516.26</v>
      </c>
      <c r="T303" s="1">
        <v>46005</v>
      </c>
      <c r="U303" s="5">
        <v>12</v>
      </c>
    </row>
    <row r="304" spans="1:21" x14ac:dyDescent="0.3">
      <c r="A304" s="5" t="s">
        <v>365</v>
      </c>
      <c r="B304" s="1">
        <v>45880</v>
      </c>
      <c r="C304" s="5" t="s">
        <v>18</v>
      </c>
      <c r="D304" s="5" t="s">
        <v>36</v>
      </c>
      <c r="E304" s="5" t="s">
        <v>29</v>
      </c>
      <c r="F304" s="5" t="s">
        <v>30</v>
      </c>
      <c r="G304" s="5" t="s">
        <v>56</v>
      </c>
      <c r="H304" s="5" t="s">
        <v>51</v>
      </c>
      <c r="I304" s="5">
        <v>439</v>
      </c>
      <c r="J304" s="5">
        <v>1317</v>
      </c>
      <c r="K304" s="5">
        <v>1753.24</v>
      </c>
      <c r="L304" s="5">
        <v>821</v>
      </c>
      <c r="M304" s="5">
        <v>104</v>
      </c>
      <c r="N304" s="5">
        <v>9</v>
      </c>
      <c r="O304" s="5" t="s">
        <v>24</v>
      </c>
      <c r="P304" s="5">
        <v>2314</v>
      </c>
      <c r="Q304" s="5" t="s">
        <v>46</v>
      </c>
      <c r="R304" s="2">
        <v>769672.36</v>
      </c>
      <c r="S304" s="2">
        <v>191509.36</v>
      </c>
      <c r="T304" s="1">
        <v>45880</v>
      </c>
      <c r="U304" s="5">
        <v>8</v>
      </c>
    </row>
    <row r="305" spans="1:21" x14ac:dyDescent="0.3">
      <c r="A305" s="5" t="s">
        <v>366</v>
      </c>
      <c r="B305" s="1">
        <v>45886</v>
      </c>
      <c r="C305" s="5" t="s">
        <v>35</v>
      </c>
      <c r="D305" s="5" t="s">
        <v>62</v>
      </c>
      <c r="E305" s="5" t="s">
        <v>54</v>
      </c>
      <c r="F305" s="5" t="s">
        <v>78</v>
      </c>
      <c r="G305" s="5" t="s">
        <v>56</v>
      </c>
      <c r="H305" s="5" t="s">
        <v>23</v>
      </c>
      <c r="I305" s="5">
        <v>144</v>
      </c>
      <c r="J305" s="5">
        <v>2184</v>
      </c>
      <c r="K305" s="5">
        <v>2721.16</v>
      </c>
      <c r="L305" s="5">
        <v>1809</v>
      </c>
      <c r="M305" s="5">
        <v>125</v>
      </c>
      <c r="N305" s="5">
        <v>2</v>
      </c>
      <c r="O305" s="5" t="s">
        <v>32</v>
      </c>
      <c r="P305" s="5">
        <v>1568</v>
      </c>
      <c r="Q305" s="5" t="s">
        <v>33</v>
      </c>
      <c r="R305" s="2">
        <v>391847.04</v>
      </c>
      <c r="S305" s="2">
        <v>77351.039999999994</v>
      </c>
      <c r="T305" s="1">
        <v>45886</v>
      </c>
      <c r="U305" s="5">
        <v>8</v>
      </c>
    </row>
    <row r="306" spans="1:21" x14ac:dyDescent="0.3">
      <c r="A306" s="5" t="s">
        <v>367</v>
      </c>
      <c r="B306" s="1">
        <v>45835</v>
      </c>
      <c r="C306" s="5" t="s">
        <v>42</v>
      </c>
      <c r="D306" s="5" t="s">
        <v>62</v>
      </c>
      <c r="E306" s="5" t="s">
        <v>29</v>
      </c>
      <c r="F306" s="5" t="s">
        <v>30</v>
      </c>
      <c r="G306" s="5" t="s">
        <v>22</v>
      </c>
      <c r="H306" s="5" t="s">
        <v>39</v>
      </c>
      <c r="I306" s="5">
        <v>81</v>
      </c>
      <c r="J306" s="5">
        <v>1192</v>
      </c>
      <c r="K306" s="5">
        <v>1508.07</v>
      </c>
      <c r="L306" s="5">
        <v>1518</v>
      </c>
      <c r="M306" s="5">
        <v>183</v>
      </c>
      <c r="N306" s="5">
        <v>6</v>
      </c>
      <c r="O306" s="5" t="s">
        <v>24</v>
      </c>
      <c r="P306" s="5">
        <v>1671</v>
      </c>
      <c r="Q306" s="5" t="s">
        <v>46</v>
      </c>
      <c r="R306" s="2">
        <v>122153.67</v>
      </c>
      <c r="S306" s="2">
        <v>25601.67</v>
      </c>
      <c r="T306" s="1">
        <v>45835</v>
      </c>
      <c r="U306" s="5">
        <v>6</v>
      </c>
    </row>
    <row r="307" spans="1:21" x14ac:dyDescent="0.3">
      <c r="A307" s="5" t="s">
        <v>368</v>
      </c>
      <c r="B307" s="1">
        <v>45814</v>
      </c>
      <c r="C307" s="5" t="s">
        <v>27</v>
      </c>
      <c r="D307" s="5" t="s">
        <v>36</v>
      </c>
      <c r="E307" s="5" t="s">
        <v>49</v>
      </c>
      <c r="F307" s="5" t="s">
        <v>75</v>
      </c>
      <c r="G307" s="5" t="s">
        <v>56</v>
      </c>
      <c r="H307" s="5" t="s">
        <v>51</v>
      </c>
      <c r="I307" s="5">
        <v>107</v>
      </c>
      <c r="J307" s="5">
        <v>2057</v>
      </c>
      <c r="K307" s="5">
        <v>2982.46</v>
      </c>
      <c r="L307" s="5">
        <v>1273</v>
      </c>
      <c r="M307" s="5">
        <v>239</v>
      </c>
      <c r="N307" s="5">
        <v>2</v>
      </c>
      <c r="O307" s="5" t="s">
        <v>32</v>
      </c>
      <c r="P307" s="5">
        <v>6232</v>
      </c>
      <c r="Q307" s="5" t="s">
        <v>33</v>
      </c>
      <c r="R307" s="2">
        <v>319123.21999999997</v>
      </c>
      <c r="S307" s="2">
        <v>99024.22</v>
      </c>
      <c r="T307" s="1">
        <v>45814</v>
      </c>
      <c r="U307" s="5">
        <v>6</v>
      </c>
    </row>
    <row r="308" spans="1:21" x14ac:dyDescent="0.3">
      <c r="A308" s="5" t="s">
        <v>369</v>
      </c>
      <c r="B308" s="1">
        <v>45714</v>
      </c>
      <c r="C308" s="5" t="s">
        <v>27</v>
      </c>
      <c r="D308" s="5" t="s">
        <v>28</v>
      </c>
      <c r="E308" s="5" t="s">
        <v>49</v>
      </c>
      <c r="F308" s="5" t="s">
        <v>50</v>
      </c>
      <c r="G308" s="5" t="s">
        <v>31</v>
      </c>
      <c r="H308" s="5" t="s">
        <v>23</v>
      </c>
      <c r="I308" s="5">
        <v>380</v>
      </c>
      <c r="J308" s="5">
        <v>3181</v>
      </c>
      <c r="K308" s="5">
        <v>3931.78</v>
      </c>
      <c r="L308" s="5">
        <v>253</v>
      </c>
      <c r="M308" s="5">
        <v>273</v>
      </c>
      <c r="N308" s="5">
        <v>3</v>
      </c>
      <c r="O308" s="5" t="s">
        <v>32</v>
      </c>
      <c r="P308" s="5">
        <v>7637</v>
      </c>
      <c r="Q308" s="5" t="s">
        <v>33</v>
      </c>
      <c r="R308" s="2">
        <v>1494076.4</v>
      </c>
      <c r="S308" s="2">
        <v>285296.40000000002</v>
      </c>
      <c r="T308" s="1">
        <v>45714</v>
      </c>
      <c r="U308" s="5">
        <v>2</v>
      </c>
    </row>
    <row r="309" spans="1:21" x14ac:dyDescent="0.3">
      <c r="A309" s="5" t="s">
        <v>370</v>
      </c>
      <c r="B309" s="1">
        <v>46003</v>
      </c>
      <c r="C309" s="5" t="s">
        <v>18</v>
      </c>
      <c r="D309" s="5" t="s">
        <v>19</v>
      </c>
      <c r="E309" s="5" t="s">
        <v>29</v>
      </c>
      <c r="F309" s="5" t="s">
        <v>73</v>
      </c>
      <c r="G309" s="5" t="s">
        <v>56</v>
      </c>
      <c r="H309" s="5" t="s">
        <v>51</v>
      </c>
      <c r="I309" s="5">
        <v>185</v>
      </c>
      <c r="J309" s="5">
        <v>4794</v>
      </c>
      <c r="K309" s="5">
        <v>5935.62</v>
      </c>
      <c r="L309" s="5">
        <v>1485</v>
      </c>
      <c r="M309" s="5">
        <v>273</v>
      </c>
      <c r="N309" s="5">
        <v>8</v>
      </c>
      <c r="O309" s="5" t="s">
        <v>24</v>
      </c>
      <c r="P309" s="5">
        <v>7207</v>
      </c>
      <c r="Q309" s="5" t="s">
        <v>46</v>
      </c>
      <c r="R309" s="2">
        <v>1098089.7</v>
      </c>
      <c r="S309" s="2">
        <v>211199.7</v>
      </c>
      <c r="T309" s="1">
        <v>46003</v>
      </c>
      <c r="U309" s="5">
        <v>12</v>
      </c>
    </row>
    <row r="310" spans="1:21" x14ac:dyDescent="0.3">
      <c r="A310" s="5" t="s">
        <v>371</v>
      </c>
      <c r="B310" s="1">
        <v>45932</v>
      </c>
      <c r="C310" s="5" t="s">
        <v>18</v>
      </c>
      <c r="D310" s="5" t="s">
        <v>19</v>
      </c>
      <c r="E310" s="5" t="s">
        <v>20</v>
      </c>
      <c r="F310" s="5" t="s">
        <v>100</v>
      </c>
      <c r="G310" s="5" t="s">
        <v>22</v>
      </c>
      <c r="H310" s="5" t="s">
        <v>39</v>
      </c>
      <c r="I310" s="5">
        <v>144</v>
      </c>
      <c r="J310" s="5">
        <v>4815</v>
      </c>
      <c r="K310" s="5">
        <v>5793.09</v>
      </c>
      <c r="L310" s="5">
        <v>1740</v>
      </c>
      <c r="M310" s="5">
        <v>234</v>
      </c>
      <c r="N310" s="5">
        <v>1</v>
      </c>
      <c r="O310" s="5" t="s">
        <v>32</v>
      </c>
      <c r="P310" s="5">
        <v>7676</v>
      </c>
      <c r="Q310" s="5" t="s">
        <v>33</v>
      </c>
      <c r="R310" s="2">
        <v>834204.96</v>
      </c>
      <c r="S310" s="2">
        <v>140844.96</v>
      </c>
      <c r="T310" s="1">
        <v>45932</v>
      </c>
      <c r="U310" s="5">
        <v>10</v>
      </c>
    </row>
    <row r="311" spans="1:21" x14ac:dyDescent="0.3">
      <c r="A311" s="5" t="s">
        <v>372</v>
      </c>
      <c r="B311" s="1">
        <v>45822</v>
      </c>
      <c r="C311" s="5" t="s">
        <v>27</v>
      </c>
      <c r="D311" s="5" t="s">
        <v>62</v>
      </c>
      <c r="E311" s="5" t="s">
        <v>20</v>
      </c>
      <c r="F311" s="5" t="s">
        <v>100</v>
      </c>
      <c r="G311" s="5" t="s">
        <v>38</v>
      </c>
      <c r="H311" s="5" t="s">
        <v>39</v>
      </c>
      <c r="I311" s="5">
        <v>363</v>
      </c>
      <c r="J311" s="5">
        <v>2858</v>
      </c>
      <c r="K311" s="5">
        <v>4284.9799999999996</v>
      </c>
      <c r="L311" s="5">
        <v>1746</v>
      </c>
      <c r="M311" s="5">
        <v>99</v>
      </c>
      <c r="N311" s="5">
        <v>3</v>
      </c>
      <c r="O311" s="5" t="s">
        <v>32</v>
      </c>
      <c r="P311" s="5">
        <v>7555</v>
      </c>
      <c r="Q311" s="5" t="s">
        <v>33</v>
      </c>
      <c r="R311" s="2">
        <v>1555447.74</v>
      </c>
      <c r="S311" s="2">
        <v>517993.74</v>
      </c>
      <c r="T311" s="1">
        <v>45822</v>
      </c>
      <c r="U311" s="5">
        <v>6</v>
      </c>
    </row>
    <row r="312" spans="1:21" x14ac:dyDescent="0.3">
      <c r="A312" s="5" t="s">
        <v>373</v>
      </c>
      <c r="B312" s="1">
        <v>45681</v>
      </c>
      <c r="C312" s="5" t="s">
        <v>35</v>
      </c>
      <c r="D312" s="5" t="s">
        <v>28</v>
      </c>
      <c r="E312" s="5" t="s">
        <v>49</v>
      </c>
      <c r="F312" s="5" t="s">
        <v>89</v>
      </c>
      <c r="G312" s="5" t="s">
        <v>22</v>
      </c>
      <c r="H312" s="5" t="s">
        <v>23</v>
      </c>
      <c r="I312" s="5">
        <v>418</v>
      </c>
      <c r="J312" s="5">
        <v>3974</v>
      </c>
      <c r="K312" s="5">
        <v>5861.65</v>
      </c>
      <c r="L312" s="5">
        <v>616</v>
      </c>
      <c r="M312" s="5">
        <v>293</v>
      </c>
      <c r="N312" s="5">
        <v>3</v>
      </c>
      <c r="O312" s="5" t="s">
        <v>32</v>
      </c>
      <c r="P312" s="5">
        <v>2556</v>
      </c>
      <c r="Q312" s="5" t="s">
        <v>33</v>
      </c>
      <c r="R312" s="2">
        <v>2450169.7000000002</v>
      </c>
      <c r="S312" s="2">
        <v>789037.7</v>
      </c>
      <c r="T312" s="1">
        <v>45681</v>
      </c>
      <c r="U312" s="5">
        <v>1</v>
      </c>
    </row>
    <row r="313" spans="1:21" x14ac:dyDescent="0.3">
      <c r="A313" s="5" t="s">
        <v>374</v>
      </c>
      <c r="B313" s="1">
        <v>45803</v>
      </c>
      <c r="C313" s="5" t="s">
        <v>42</v>
      </c>
      <c r="D313" s="5" t="s">
        <v>19</v>
      </c>
      <c r="E313" s="5" t="s">
        <v>20</v>
      </c>
      <c r="F313" s="5" t="s">
        <v>45</v>
      </c>
      <c r="G313" s="5" t="s">
        <v>56</v>
      </c>
      <c r="H313" s="5" t="s">
        <v>23</v>
      </c>
      <c r="I313" s="5">
        <v>432</v>
      </c>
      <c r="J313" s="5">
        <v>2429</v>
      </c>
      <c r="K313" s="5">
        <v>3018.94</v>
      </c>
      <c r="L313" s="5">
        <v>1413</v>
      </c>
      <c r="M313" s="5">
        <v>281</v>
      </c>
      <c r="N313" s="5">
        <v>3</v>
      </c>
      <c r="O313" s="5" t="s">
        <v>32</v>
      </c>
      <c r="P313" s="5">
        <v>5350</v>
      </c>
      <c r="Q313" s="5" t="s">
        <v>33</v>
      </c>
      <c r="R313" s="2">
        <v>1304182.08</v>
      </c>
      <c r="S313" s="2">
        <v>254854.08</v>
      </c>
      <c r="T313" s="1">
        <v>45803</v>
      </c>
      <c r="U313" s="5">
        <v>5</v>
      </c>
    </row>
    <row r="314" spans="1:21" x14ac:dyDescent="0.3">
      <c r="A314" s="5" t="s">
        <v>375</v>
      </c>
      <c r="B314" s="1">
        <v>45673</v>
      </c>
      <c r="C314" s="5" t="s">
        <v>42</v>
      </c>
      <c r="D314" s="5" t="s">
        <v>19</v>
      </c>
      <c r="E314" s="5" t="s">
        <v>20</v>
      </c>
      <c r="F314" s="5" t="s">
        <v>60</v>
      </c>
      <c r="G314" s="5" t="s">
        <v>22</v>
      </c>
      <c r="H314" s="5" t="s">
        <v>23</v>
      </c>
      <c r="I314" s="5">
        <v>75</v>
      </c>
      <c r="J314" s="5">
        <v>1444</v>
      </c>
      <c r="K314" s="5">
        <v>2114.29</v>
      </c>
      <c r="L314" s="5">
        <v>818</v>
      </c>
      <c r="M314" s="5">
        <v>242</v>
      </c>
      <c r="N314" s="5">
        <v>5</v>
      </c>
      <c r="O314" s="5" t="s">
        <v>32</v>
      </c>
      <c r="P314" s="5">
        <v>5177</v>
      </c>
      <c r="Q314" s="5" t="s">
        <v>33</v>
      </c>
      <c r="R314" s="2">
        <v>158571.75</v>
      </c>
      <c r="S314" s="2">
        <v>50271.75</v>
      </c>
      <c r="T314" s="1">
        <v>45673</v>
      </c>
      <c r="U314" s="5">
        <v>1</v>
      </c>
    </row>
    <row r="315" spans="1:21" x14ac:dyDescent="0.3">
      <c r="A315" s="5" t="s">
        <v>376</v>
      </c>
      <c r="B315" s="1">
        <v>45883</v>
      </c>
      <c r="C315" s="5" t="s">
        <v>18</v>
      </c>
      <c r="D315" s="5" t="s">
        <v>36</v>
      </c>
      <c r="E315" s="5" t="s">
        <v>29</v>
      </c>
      <c r="F315" s="5" t="s">
        <v>73</v>
      </c>
      <c r="G315" s="5" t="s">
        <v>31</v>
      </c>
      <c r="H315" s="5" t="s">
        <v>39</v>
      </c>
      <c r="I315" s="5">
        <v>333</v>
      </c>
      <c r="J315" s="5">
        <v>4335</v>
      </c>
      <c r="K315" s="5">
        <v>6184.92</v>
      </c>
      <c r="L315" s="5">
        <v>1758</v>
      </c>
      <c r="M315" s="5">
        <v>128</v>
      </c>
      <c r="N315" s="5">
        <v>9</v>
      </c>
      <c r="O315" s="5" t="s">
        <v>24</v>
      </c>
      <c r="P315" s="5">
        <v>7362</v>
      </c>
      <c r="Q315" s="5" t="s">
        <v>25</v>
      </c>
      <c r="R315" s="2">
        <v>2059578.36</v>
      </c>
      <c r="S315" s="2">
        <v>616023.36</v>
      </c>
      <c r="T315" s="1">
        <v>45883</v>
      </c>
      <c r="U315" s="5">
        <v>8</v>
      </c>
    </row>
    <row r="316" spans="1:21" x14ac:dyDescent="0.3">
      <c r="A316" s="5" t="s">
        <v>377</v>
      </c>
      <c r="B316" s="1">
        <v>45720</v>
      </c>
      <c r="C316" s="5" t="s">
        <v>18</v>
      </c>
      <c r="D316" s="5" t="s">
        <v>28</v>
      </c>
      <c r="E316" s="5" t="s">
        <v>29</v>
      </c>
      <c r="F316" s="5" t="s">
        <v>58</v>
      </c>
      <c r="G316" s="5" t="s">
        <v>38</v>
      </c>
      <c r="H316" s="5" t="s">
        <v>23</v>
      </c>
      <c r="I316" s="5">
        <v>486</v>
      </c>
      <c r="J316" s="5">
        <v>2470</v>
      </c>
      <c r="K316" s="5">
        <v>3139.28</v>
      </c>
      <c r="L316" s="5">
        <v>371</v>
      </c>
      <c r="M316" s="5">
        <v>100</v>
      </c>
      <c r="N316" s="5">
        <v>4</v>
      </c>
      <c r="O316" s="5" t="s">
        <v>32</v>
      </c>
      <c r="P316" s="5">
        <v>4005</v>
      </c>
      <c r="Q316" s="5" t="s">
        <v>25</v>
      </c>
      <c r="R316" s="2">
        <v>1525690.08</v>
      </c>
      <c r="S316" s="2">
        <v>325270.08</v>
      </c>
      <c r="T316" s="1">
        <v>45720</v>
      </c>
      <c r="U316" s="5">
        <v>3</v>
      </c>
    </row>
    <row r="317" spans="1:21" x14ac:dyDescent="0.3">
      <c r="A317" s="5" t="s">
        <v>378</v>
      </c>
      <c r="B317" s="1">
        <v>45991</v>
      </c>
      <c r="C317" s="5" t="s">
        <v>42</v>
      </c>
      <c r="D317" s="5" t="s">
        <v>36</v>
      </c>
      <c r="E317" s="5" t="s">
        <v>49</v>
      </c>
      <c r="F317" s="5" t="s">
        <v>89</v>
      </c>
      <c r="G317" s="5" t="s">
        <v>38</v>
      </c>
      <c r="H317" s="5" t="s">
        <v>39</v>
      </c>
      <c r="I317" s="5">
        <v>226</v>
      </c>
      <c r="J317" s="5">
        <v>360</v>
      </c>
      <c r="K317" s="5">
        <v>514.77</v>
      </c>
      <c r="L317" s="5">
        <v>739</v>
      </c>
      <c r="M317" s="5">
        <v>169</v>
      </c>
      <c r="N317" s="5">
        <v>2</v>
      </c>
      <c r="O317" s="5" t="s">
        <v>24</v>
      </c>
      <c r="P317" s="5">
        <v>2081</v>
      </c>
      <c r="Q317" s="5" t="s">
        <v>33</v>
      </c>
      <c r="R317" s="2">
        <v>116338.02</v>
      </c>
      <c r="S317" s="2">
        <v>34978.019999999997</v>
      </c>
      <c r="T317" s="1">
        <v>45991</v>
      </c>
      <c r="U317" s="5">
        <v>11</v>
      </c>
    </row>
    <row r="318" spans="1:21" x14ac:dyDescent="0.3">
      <c r="A318" s="5" t="s">
        <v>379</v>
      </c>
      <c r="B318" s="1">
        <v>45794</v>
      </c>
      <c r="C318" s="5" t="s">
        <v>18</v>
      </c>
      <c r="D318" s="5" t="s">
        <v>36</v>
      </c>
      <c r="E318" s="5" t="s">
        <v>54</v>
      </c>
      <c r="F318" s="5" t="s">
        <v>63</v>
      </c>
      <c r="G318" s="5" t="s">
        <v>22</v>
      </c>
      <c r="H318" s="5" t="s">
        <v>23</v>
      </c>
      <c r="I318" s="5">
        <v>345</v>
      </c>
      <c r="J318" s="5">
        <v>4206</v>
      </c>
      <c r="K318" s="5">
        <v>5243.97</v>
      </c>
      <c r="L318" s="5">
        <v>502</v>
      </c>
      <c r="M318" s="5">
        <v>136</v>
      </c>
      <c r="N318" s="5">
        <v>3</v>
      </c>
      <c r="O318" s="5" t="s">
        <v>32</v>
      </c>
      <c r="P318" s="5">
        <v>5284</v>
      </c>
      <c r="Q318" s="5" t="s">
        <v>33</v>
      </c>
      <c r="R318" s="2">
        <v>1809169.65</v>
      </c>
      <c r="S318" s="2">
        <v>358099.65</v>
      </c>
      <c r="T318" s="1">
        <v>45794</v>
      </c>
      <c r="U318" s="5">
        <v>5</v>
      </c>
    </row>
    <row r="319" spans="1:21" x14ac:dyDescent="0.3">
      <c r="A319" s="5" t="s">
        <v>380</v>
      </c>
      <c r="B319" s="1">
        <v>45668</v>
      </c>
      <c r="C319" s="5" t="s">
        <v>42</v>
      </c>
      <c r="D319" s="5" t="s">
        <v>28</v>
      </c>
      <c r="E319" s="5" t="s">
        <v>20</v>
      </c>
      <c r="F319" s="5" t="s">
        <v>100</v>
      </c>
      <c r="G319" s="5" t="s">
        <v>22</v>
      </c>
      <c r="H319" s="5" t="s">
        <v>39</v>
      </c>
      <c r="I319" s="5">
        <v>41</v>
      </c>
      <c r="J319" s="5">
        <v>659</v>
      </c>
      <c r="K319" s="5">
        <v>807.52</v>
      </c>
      <c r="L319" s="5">
        <v>621</v>
      </c>
      <c r="M319" s="5">
        <v>96</v>
      </c>
      <c r="N319" s="5">
        <v>6</v>
      </c>
      <c r="O319" s="5" t="s">
        <v>24</v>
      </c>
      <c r="P319" s="5">
        <v>595</v>
      </c>
      <c r="Q319" s="5" t="s">
        <v>40</v>
      </c>
      <c r="R319" s="2">
        <v>33108.32</v>
      </c>
      <c r="S319" s="2">
        <v>6089.32</v>
      </c>
      <c r="T319" s="1">
        <v>45668</v>
      </c>
      <c r="U319" s="5">
        <v>1</v>
      </c>
    </row>
    <row r="320" spans="1:21" x14ac:dyDescent="0.3">
      <c r="A320" s="5" t="s">
        <v>381</v>
      </c>
      <c r="B320" s="1">
        <v>45987</v>
      </c>
      <c r="C320" s="5" t="s">
        <v>18</v>
      </c>
      <c r="D320" s="5" t="s">
        <v>19</v>
      </c>
      <c r="E320" s="5" t="s">
        <v>49</v>
      </c>
      <c r="F320" s="5" t="s">
        <v>50</v>
      </c>
      <c r="G320" s="5" t="s">
        <v>38</v>
      </c>
      <c r="H320" s="5" t="s">
        <v>23</v>
      </c>
      <c r="I320" s="5">
        <v>402</v>
      </c>
      <c r="J320" s="5">
        <v>3317</v>
      </c>
      <c r="K320" s="5">
        <v>4174.34</v>
      </c>
      <c r="L320" s="5">
        <v>360</v>
      </c>
      <c r="M320" s="5">
        <v>237</v>
      </c>
      <c r="N320" s="5">
        <v>7</v>
      </c>
      <c r="O320" s="5" t="s">
        <v>24</v>
      </c>
      <c r="P320" s="5">
        <v>1688</v>
      </c>
      <c r="Q320" s="5" t="s">
        <v>40</v>
      </c>
      <c r="R320" s="2">
        <v>1678084.68</v>
      </c>
      <c r="S320" s="2">
        <v>344650.68</v>
      </c>
      <c r="T320" s="1">
        <v>45987</v>
      </c>
      <c r="U320" s="5">
        <v>11</v>
      </c>
    </row>
    <row r="321" spans="1:21" x14ac:dyDescent="0.3">
      <c r="A321" s="5" t="s">
        <v>382</v>
      </c>
      <c r="B321" s="1">
        <v>45901</v>
      </c>
      <c r="C321" s="5" t="s">
        <v>27</v>
      </c>
      <c r="D321" s="5" t="s">
        <v>53</v>
      </c>
      <c r="E321" s="5" t="s">
        <v>29</v>
      </c>
      <c r="F321" s="5" t="s">
        <v>30</v>
      </c>
      <c r="G321" s="5" t="s">
        <v>31</v>
      </c>
      <c r="H321" s="5" t="s">
        <v>23</v>
      </c>
      <c r="I321" s="5">
        <v>117</v>
      </c>
      <c r="J321" s="5">
        <v>2275</v>
      </c>
      <c r="K321" s="5">
        <v>3151.3</v>
      </c>
      <c r="L321" s="5">
        <v>801</v>
      </c>
      <c r="M321" s="5">
        <v>146</v>
      </c>
      <c r="N321" s="5">
        <v>7</v>
      </c>
      <c r="O321" s="5" t="s">
        <v>24</v>
      </c>
      <c r="P321" s="5">
        <v>533</v>
      </c>
      <c r="Q321" s="5" t="s">
        <v>40</v>
      </c>
      <c r="R321" s="2">
        <v>368702.1</v>
      </c>
      <c r="S321" s="2">
        <v>102527.1</v>
      </c>
      <c r="T321" s="1">
        <v>45901</v>
      </c>
      <c r="U321" s="5">
        <v>9</v>
      </c>
    </row>
    <row r="322" spans="1:21" x14ac:dyDescent="0.3">
      <c r="A322" s="5" t="s">
        <v>383</v>
      </c>
      <c r="B322" s="1">
        <v>45835</v>
      </c>
      <c r="C322" s="5" t="s">
        <v>42</v>
      </c>
      <c r="D322" s="5" t="s">
        <v>36</v>
      </c>
      <c r="E322" s="5" t="s">
        <v>20</v>
      </c>
      <c r="F322" s="5" t="s">
        <v>37</v>
      </c>
      <c r="G322" s="5" t="s">
        <v>38</v>
      </c>
      <c r="H322" s="5" t="s">
        <v>23</v>
      </c>
      <c r="I322" s="5">
        <v>376</v>
      </c>
      <c r="J322" s="5">
        <v>4305</v>
      </c>
      <c r="K322" s="5">
        <v>6247.92</v>
      </c>
      <c r="L322" s="5">
        <v>1991</v>
      </c>
      <c r="M322" s="5">
        <v>136</v>
      </c>
      <c r="N322" s="5">
        <v>9</v>
      </c>
      <c r="O322" s="5" t="s">
        <v>24</v>
      </c>
      <c r="P322" s="5">
        <v>509</v>
      </c>
      <c r="Q322" s="5" t="s">
        <v>40</v>
      </c>
      <c r="R322" s="2">
        <v>2349217.92</v>
      </c>
      <c r="S322" s="2">
        <v>730537.92</v>
      </c>
      <c r="T322" s="1">
        <v>45835</v>
      </c>
      <c r="U322" s="5">
        <v>6</v>
      </c>
    </row>
    <row r="323" spans="1:21" x14ac:dyDescent="0.3">
      <c r="A323" s="5" t="s">
        <v>384</v>
      </c>
      <c r="B323" s="1">
        <v>45794</v>
      </c>
      <c r="C323" s="5" t="s">
        <v>42</v>
      </c>
      <c r="D323" s="5" t="s">
        <v>28</v>
      </c>
      <c r="E323" s="5" t="s">
        <v>49</v>
      </c>
      <c r="F323" s="5" t="s">
        <v>89</v>
      </c>
      <c r="G323" s="5" t="s">
        <v>56</v>
      </c>
      <c r="H323" s="5" t="s">
        <v>51</v>
      </c>
      <c r="I323" s="5">
        <v>235</v>
      </c>
      <c r="J323" s="5">
        <v>1183</v>
      </c>
      <c r="K323" s="5">
        <v>1764.19</v>
      </c>
      <c r="L323" s="5">
        <v>443</v>
      </c>
      <c r="M323" s="5">
        <v>164</v>
      </c>
      <c r="N323" s="5">
        <v>3</v>
      </c>
      <c r="O323" s="5" t="s">
        <v>32</v>
      </c>
      <c r="P323" s="5">
        <v>1322</v>
      </c>
      <c r="Q323" s="5" t="s">
        <v>25</v>
      </c>
      <c r="R323" s="2">
        <v>414584.65</v>
      </c>
      <c r="S323" s="2">
        <v>136579.65</v>
      </c>
      <c r="T323" s="1">
        <v>45794</v>
      </c>
      <c r="U323" s="5">
        <v>5</v>
      </c>
    </row>
    <row r="324" spans="1:21" x14ac:dyDescent="0.3">
      <c r="A324" s="5" t="s">
        <v>385</v>
      </c>
      <c r="B324" s="1">
        <v>45823</v>
      </c>
      <c r="C324" s="5" t="s">
        <v>18</v>
      </c>
      <c r="D324" s="5" t="s">
        <v>36</v>
      </c>
      <c r="E324" s="5" t="s">
        <v>49</v>
      </c>
      <c r="F324" s="5" t="s">
        <v>75</v>
      </c>
      <c r="G324" s="5" t="s">
        <v>56</v>
      </c>
      <c r="H324" s="5" t="s">
        <v>23</v>
      </c>
      <c r="I324" s="5">
        <v>232</v>
      </c>
      <c r="J324" s="5">
        <v>1911</v>
      </c>
      <c r="K324" s="5">
        <v>2483.62</v>
      </c>
      <c r="L324" s="5">
        <v>429</v>
      </c>
      <c r="M324" s="5">
        <v>106</v>
      </c>
      <c r="N324" s="5">
        <v>10</v>
      </c>
      <c r="O324" s="5" t="s">
        <v>24</v>
      </c>
      <c r="P324" s="5">
        <v>3251</v>
      </c>
      <c r="Q324" s="5" t="s">
        <v>40</v>
      </c>
      <c r="R324" s="2">
        <v>576199.84</v>
      </c>
      <c r="S324" s="2">
        <v>132847.84</v>
      </c>
      <c r="T324" s="1">
        <v>45823</v>
      </c>
      <c r="U324" s="5">
        <v>6</v>
      </c>
    </row>
    <row r="325" spans="1:21" x14ac:dyDescent="0.3">
      <c r="A325" s="5" t="s">
        <v>386</v>
      </c>
      <c r="B325" s="1">
        <v>45982</v>
      </c>
      <c r="C325" s="5" t="s">
        <v>18</v>
      </c>
      <c r="D325" s="5" t="s">
        <v>62</v>
      </c>
      <c r="E325" s="5" t="s">
        <v>54</v>
      </c>
      <c r="F325" s="5" t="s">
        <v>55</v>
      </c>
      <c r="G325" s="5" t="s">
        <v>56</v>
      </c>
      <c r="H325" s="5" t="s">
        <v>23</v>
      </c>
      <c r="I325" s="5">
        <v>172</v>
      </c>
      <c r="J325" s="5">
        <v>3960</v>
      </c>
      <c r="K325" s="5">
        <v>5777.09</v>
      </c>
      <c r="L325" s="5">
        <v>267</v>
      </c>
      <c r="M325" s="5">
        <v>236</v>
      </c>
      <c r="N325" s="5">
        <v>10</v>
      </c>
      <c r="O325" s="5" t="s">
        <v>24</v>
      </c>
      <c r="P325" s="5">
        <v>6019</v>
      </c>
      <c r="Q325" s="5" t="s">
        <v>25</v>
      </c>
      <c r="R325" s="2">
        <v>993659.48</v>
      </c>
      <c r="S325" s="2">
        <v>312539.48</v>
      </c>
      <c r="T325" s="1">
        <v>45982</v>
      </c>
      <c r="U325" s="5">
        <v>11</v>
      </c>
    </row>
    <row r="326" spans="1:21" x14ac:dyDescent="0.3">
      <c r="A326" s="5" t="s">
        <v>387</v>
      </c>
      <c r="B326" s="1">
        <v>45877</v>
      </c>
      <c r="C326" s="5" t="s">
        <v>42</v>
      </c>
      <c r="D326" s="5" t="s">
        <v>28</v>
      </c>
      <c r="E326" s="5" t="s">
        <v>29</v>
      </c>
      <c r="F326" s="5" t="s">
        <v>43</v>
      </c>
      <c r="G326" s="5" t="s">
        <v>38</v>
      </c>
      <c r="H326" s="5" t="s">
        <v>39</v>
      </c>
      <c r="I326" s="5">
        <v>129</v>
      </c>
      <c r="J326" s="5">
        <v>529</v>
      </c>
      <c r="K326" s="5">
        <v>684.5</v>
      </c>
      <c r="L326" s="5">
        <v>1176</v>
      </c>
      <c r="M326" s="5">
        <v>238</v>
      </c>
      <c r="N326" s="5">
        <v>10</v>
      </c>
      <c r="O326" s="5" t="s">
        <v>24</v>
      </c>
      <c r="P326" s="5">
        <v>4140</v>
      </c>
      <c r="Q326" s="5" t="s">
        <v>25</v>
      </c>
      <c r="R326" s="2">
        <v>88300.5</v>
      </c>
      <c r="S326" s="2">
        <v>20059.5</v>
      </c>
      <c r="T326" s="1">
        <v>45877</v>
      </c>
      <c r="U326" s="5">
        <v>8</v>
      </c>
    </row>
    <row r="327" spans="1:21" x14ac:dyDescent="0.3">
      <c r="A327" s="5" t="s">
        <v>388</v>
      </c>
      <c r="B327" s="1">
        <v>45704</v>
      </c>
      <c r="C327" s="5" t="s">
        <v>35</v>
      </c>
      <c r="D327" s="5" t="s">
        <v>62</v>
      </c>
      <c r="E327" s="5" t="s">
        <v>49</v>
      </c>
      <c r="F327" s="5" t="s">
        <v>65</v>
      </c>
      <c r="G327" s="5" t="s">
        <v>22</v>
      </c>
      <c r="H327" s="5" t="s">
        <v>23</v>
      </c>
      <c r="I327" s="5">
        <v>294</v>
      </c>
      <c r="J327" s="5">
        <v>4735</v>
      </c>
      <c r="K327" s="5">
        <v>6908.09</v>
      </c>
      <c r="L327" s="5">
        <v>863</v>
      </c>
      <c r="M327" s="5">
        <v>227</v>
      </c>
      <c r="N327" s="5">
        <v>7</v>
      </c>
      <c r="O327" s="5" t="s">
        <v>24</v>
      </c>
      <c r="P327" s="5">
        <v>3220</v>
      </c>
      <c r="Q327" s="5" t="s">
        <v>46</v>
      </c>
      <c r="R327" s="2">
        <v>2030978.46</v>
      </c>
      <c r="S327" s="2">
        <v>638888.46</v>
      </c>
      <c r="T327" s="1">
        <v>45704</v>
      </c>
      <c r="U327" s="5">
        <v>2</v>
      </c>
    </row>
    <row r="328" spans="1:21" x14ac:dyDescent="0.3">
      <c r="A328" s="5" t="s">
        <v>389</v>
      </c>
      <c r="B328" s="1">
        <v>45783</v>
      </c>
      <c r="C328" s="5" t="s">
        <v>27</v>
      </c>
      <c r="D328" s="5" t="s">
        <v>62</v>
      </c>
      <c r="E328" s="5" t="s">
        <v>49</v>
      </c>
      <c r="F328" s="5" t="s">
        <v>89</v>
      </c>
      <c r="G328" s="5" t="s">
        <v>22</v>
      </c>
      <c r="H328" s="5" t="s">
        <v>39</v>
      </c>
      <c r="I328" s="5">
        <v>296</v>
      </c>
      <c r="J328" s="5">
        <v>4009</v>
      </c>
      <c r="K328" s="5">
        <v>5917.34</v>
      </c>
      <c r="L328" s="5">
        <v>943</v>
      </c>
      <c r="M328" s="5">
        <v>221</v>
      </c>
      <c r="N328" s="5">
        <v>8</v>
      </c>
      <c r="O328" s="5" t="s">
        <v>24</v>
      </c>
      <c r="P328" s="5">
        <v>2339</v>
      </c>
      <c r="Q328" s="5" t="s">
        <v>40</v>
      </c>
      <c r="R328" s="2">
        <v>1751532.64</v>
      </c>
      <c r="S328" s="2">
        <v>564868.64</v>
      </c>
      <c r="T328" s="1">
        <v>45783</v>
      </c>
      <c r="U328" s="5">
        <v>5</v>
      </c>
    </row>
    <row r="329" spans="1:21" x14ac:dyDescent="0.3">
      <c r="A329" s="5" t="s">
        <v>390</v>
      </c>
      <c r="B329" s="1">
        <v>45948</v>
      </c>
      <c r="C329" s="5" t="s">
        <v>35</v>
      </c>
      <c r="D329" s="5" t="s">
        <v>53</v>
      </c>
      <c r="E329" s="5" t="s">
        <v>29</v>
      </c>
      <c r="F329" s="5" t="s">
        <v>69</v>
      </c>
      <c r="G329" s="5" t="s">
        <v>56</v>
      </c>
      <c r="H329" s="5" t="s">
        <v>51</v>
      </c>
      <c r="I329" s="5">
        <v>116</v>
      </c>
      <c r="J329" s="5">
        <v>316</v>
      </c>
      <c r="K329" s="5">
        <v>411.07</v>
      </c>
      <c r="L329" s="5">
        <v>387</v>
      </c>
      <c r="M329" s="5">
        <v>199</v>
      </c>
      <c r="N329" s="5">
        <v>6</v>
      </c>
      <c r="O329" s="5" t="s">
        <v>24</v>
      </c>
      <c r="P329" s="5">
        <v>412</v>
      </c>
      <c r="Q329" s="5" t="s">
        <v>46</v>
      </c>
      <c r="R329" s="2">
        <v>47684.12</v>
      </c>
      <c r="S329" s="2">
        <v>11028.12</v>
      </c>
      <c r="T329" s="1">
        <v>45948</v>
      </c>
      <c r="U329" s="5">
        <v>10</v>
      </c>
    </row>
    <row r="330" spans="1:21" x14ac:dyDescent="0.3">
      <c r="A330" s="5" t="s">
        <v>391</v>
      </c>
      <c r="B330" s="1">
        <v>45926</v>
      </c>
      <c r="C330" s="5" t="s">
        <v>35</v>
      </c>
      <c r="D330" s="5" t="s">
        <v>28</v>
      </c>
      <c r="E330" s="5" t="s">
        <v>54</v>
      </c>
      <c r="F330" s="5" t="s">
        <v>87</v>
      </c>
      <c r="G330" s="5" t="s">
        <v>56</v>
      </c>
      <c r="H330" s="5" t="s">
        <v>51</v>
      </c>
      <c r="I330" s="5">
        <v>226</v>
      </c>
      <c r="J330" s="5">
        <v>1854</v>
      </c>
      <c r="K330" s="5">
        <v>2510.34</v>
      </c>
      <c r="L330" s="5">
        <v>631</v>
      </c>
      <c r="M330" s="5">
        <v>91</v>
      </c>
      <c r="N330" s="5">
        <v>2</v>
      </c>
      <c r="O330" s="5" t="s">
        <v>32</v>
      </c>
      <c r="P330" s="5">
        <v>7179</v>
      </c>
      <c r="Q330" s="5" t="s">
        <v>33</v>
      </c>
      <c r="R330" s="2">
        <v>567336.84</v>
      </c>
      <c r="S330" s="2">
        <v>148332.84</v>
      </c>
      <c r="T330" s="1">
        <v>45926</v>
      </c>
      <c r="U330" s="5">
        <v>9</v>
      </c>
    </row>
    <row r="331" spans="1:21" x14ac:dyDescent="0.3">
      <c r="A331" s="5" t="s">
        <v>392</v>
      </c>
      <c r="B331" s="1">
        <v>45851</v>
      </c>
      <c r="C331" s="5" t="s">
        <v>18</v>
      </c>
      <c r="D331" s="5" t="s">
        <v>62</v>
      </c>
      <c r="E331" s="5" t="s">
        <v>29</v>
      </c>
      <c r="F331" s="5" t="s">
        <v>43</v>
      </c>
      <c r="G331" s="5" t="s">
        <v>22</v>
      </c>
      <c r="H331" s="5" t="s">
        <v>39</v>
      </c>
      <c r="I331" s="5">
        <v>152</v>
      </c>
      <c r="J331" s="5">
        <v>4259</v>
      </c>
      <c r="K331" s="5">
        <v>6240.01</v>
      </c>
      <c r="L331" s="5">
        <v>1579</v>
      </c>
      <c r="M331" s="5">
        <v>165</v>
      </c>
      <c r="N331" s="5">
        <v>3</v>
      </c>
      <c r="O331" s="5" t="s">
        <v>32</v>
      </c>
      <c r="P331" s="5">
        <v>3531</v>
      </c>
      <c r="Q331" s="5" t="s">
        <v>33</v>
      </c>
      <c r="R331" s="2">
        <v>948481.52</v>
      </c>
      <c r="S331" s="2">
        <v>301113.52</v>
      </c>
      <c r="T331" s="1">
        <v>45851</v>
      </c>
      <c r="U331" s="5">
        <v>7</v>
      </c>
    </row>
    <row r="332" spans="1:21" x14ac:dyDescent="0.3">
      <c r="A332" s="5" t="s">
        <v>393</v>
      </c>
      <c r="B332" s="1">
        <v>45709</v>
      </c>
      <c r="C332" s="5" t="s">
        <v>27</v>
      </c>
      <c r="D332" s="5" t="s">
        <v>19</v>
      </c>
      <c r="E332" s="5" t="s">
        <v>49</v>
      </c>
      <c r="F332" s="5" t="s">
        <v>89</v>
      </c>
      <c r="G332" s="5" t="s">
        <v>31</v>
      </c>
      <c r="H332" s="5" t="s">
        <v>39</v>
      </c>
      <c r="I332" s="5">
        <v>358</v>
      </c>
      <c r="J332" s="5">
        <v>3032</v>
      </c>
      <c r="K332" s="5">
        <v>4019.42</v>
      </c>
      <c r="L332" s="5">
        <v>328</v>
      </c>
      <c r="M332" s="5">
        <v>258</v>
      </c>
      <c r="N332" s="5">
        <v>1</v>
      </c>
      <c r="O332" s="5" t="s">
        <v>32</v>
      </c>
      <c r="P332" s="5">
        <v>3775</v>
      </c>
      <c r="Q332" s="5" t="s">
        <v>33</v>
      </c>
      <c r="R332" s="2">
        <v>1438952.36</v>
      </c>
      <c r="S332" s="2">
        <v>353496.36</v>
      </c>
      <c r="T332" s="1">
        <v>45709</v>
      </c>
      <c r="U332" s="5">
        <v>2</v>
      </c>
    </row>
    <row r="333" spans="1:21" x14ac:dyDescent="0.3">
      <c r="A333" s="5" t="s">
        <v>394</v>
      </c>
      <c r="B333" s="1">
        <v>45834</v>
      </c>
      <c r="C333" s="5" t="s">
        <v>27</v>
      </c>
      <c r="D333" s="5" t="s">
        <v>19</v>
      </c>
      <c r="E333" s="5" t="s">
        <v>49</v>
      </c>
      <c r="F333" s="5" t="s">
        <v>50</v>
      </c>
      <c r="G333" s="5" t="s">
        <v>31</v>
      </c>
      <c r="H333" s="5" t="s">
        <v>39</v>
      </c>
      <c r="I333" s="5">
        <v>250</v>
      </c>
      <c r="J333" s="5">
        <v>722</v>
      </c>
      <c r="K333" s="5">
        <v>967.9</v>
      </c>
      <c r="L333" s="5">
        <v>929</v>
      </c>
      <c r="M333" s="5">
        <v>152</v>
      </c>
      <c r="N333" s="5">
        <v>8</v>
      </c>
      <c r="O333" s="5" t="s">
        <v>24</v>
      </c>
      <c r="P333" s="5">
        <v>959</v>
      </c>
      <c r="Q333" s="5" t="s">
        <v>46</v>
      </c>
      <c r="R333" s="2">
        <v>241975</v>
      </c>
      <c r="S333" s="2">
        <v>61475</v>
      </c>
      <c r="T333" s="1">
        <v>45834</v>
      </c>
      <c r="U333" s="5">
        <v>6</v>
      </c>
    </row>
    <row r="334" spans="1:21" x14ac:dyDescent="0.3">
      <c r="A334" s="5" t="s">
        <v>395</v>
      </c>
      <c r="B334" s="1">
        <v>45904</v>
      </c>
      <c r="C334" s="5" t="s">
        <v>42</v>
      </c>
      <c r="D334" s="5" t="s">
        <v>36</v>
      </c>
      <c r="E334" s="5" t="s">
        <v>54</v>
      </c>
      <c r="F334" s="5" t="s">
        <v>63</v>
      </c>
      <c r="G334" s="5" t="s">
        <v>38</v>
      </c>
      <c r="H334" s="5" t="s">
        <v>51</v>
      </c>
      <c r="I334" s="5">
        <v>44</v>
      </c>
      <c r="J334" s="5">
        <v>2143</v>
      </c>
      <c r="K334" s="5">
        <v>2694.12</v>
      </c>
      <c r="L334" s="5">
        <v>260</v>
      </c>
      <c r="M334" s="5">
        <v>130</v>
      </c>
      <c r="N334" s="5">
        <v>2</v>
      </c>
      <c r="O334" s="5" t="s">
        <v>32</v>
      </c>
      <c r="P334" s="5">
        <v>6043</v>
      </c>
      <c r="Q334" s="5" t="s">
        <v>33</v>
      </c>
      <c r="R334" s="2">
        <v>118541.28</v>
      </c>
      <c r="S334" s="2">
        <v>24249.279999999999</v>
      </c>
      <c r="T334" s="1">
        <v>45904</v>
      </c>
      <c r="U334" s="5">
        <v>9</v>
      </c>
    </row>
    <row r="335" spans="1:21" x14ac:dyDescent="0.3">
      <c r="A335" s="5" t="s">
        <v>396</v>
      </c>
      <c r="B335" s="1">
        <v>45730</v>
      </c>
      <c r="C335" s="5" t="s">
        <v>27</v>
      </c>
      <c r="D335" s="5" t="s">
        <v>62</v>
      </c>
      <c r="E335" s="5" t="s">
        <v>20</v>
      </c>
      <c r="F335" s="5" t="s">
        <v>60</v>
      </c>
      <c r="G335" s="5" t="s">
        <v>31</v>
      </c>
      <c r="H335" s="5" t="s">
        <v>39</v>
      </c>
      <c r="I335" s="5">
        <v>123</v>
      </c>
      <c r="J335" s="5">
        <v>4251</v>
      </c>
      <c r="K335" s="5">
        <v>5452.44</v>
      </c>
      <c r="L335" s="5">
        <v>1664</v>
      </c>
      <c r="M335" s="5">
        <v>99</v>
      </c>
      <c r="N335" s="5">
        <v>8</v>
      </c>
      <c r="O335" s="5" t="s">
        <v>24</v>
      </c>
      <c r="P335" s="5">
        <v>3289</v>
      </c>
      <c r="Q335" s="5" t="s">
        <v>40</v>
      </c>
      <c r="R335" s="2">
        <v>670650.12</v>
      </c>
      <c r="S335" s="2">
        <v>147777.12</v>
      </c>
      <c r="T335" s="1">
        <v>45730</v>
      </c>
      <c r="U335" s="5">
        <v>3</v>
      </c>
    </row>
    <row r="336" spans="1:21" x14ac:dyDescent="0.3">
      <c r="A336" s="5" t="s">
        <v>397</v>
      </c>
      <c r="B336" s="1">
        <v>45753</v>
      </c>
      <c r="C336" s="5" t="s">
        <v>18</v>
      </c>
      <c r="D336" s="5" t="s">
        <v>19</v>
      </c>
      <c r="E336" s="5" t="s">
        <v>29</v>
      </c>
      <c r="F336" s="5" t="s">
        <v>43</v>
      </c>
      <c r="G336" s="5" t="s">
        <v>38</v>
      </c>
      <c r="H336" s="5" t="s">
        <v>51</v>
      </c>
      <c r="I336" s="5">
        <v>458</v>
      </c>
      <c r="J336" s="5">
        <v>372</v>
      </c>
      <c r="K336" s="5">
        <v>552.71</v>
      </c>
      <c r="L336" s="5">
        <v>1227</v>
      </c>
      <c r="M336" s="5">
        <v>280</v>
      </c>
      <c r="N336" s="5">
        <v>8</v>
      </c>
      <c r="O336" s="5" t="s">
        <v>24</v>
      </c>
      <c r="P336" s="5">
        <v>342</v>
      </c>
      <c r="Q336" s="5" t="s">
        <v>46</v>
      </c>
      <c r="R336" s="2">
        <v>253141.18</v>
      </c>
      <c r="S336" s="2">
        <v>82765.179999999993</v>
      </c>
      <c r="T336" s="1">
        <v>45753</v>
      </c>
      <c r="U336" s="5">
        <v>4</v>
      </c>
    </row>
    <row r="337" spans="1:21" x14ac:dyDescent="0.3">
      <c r="A337" s="5" t="s">
        <v>398</v>
      </c>
      <c r="B337" s="1">
        <v>45816</v>
      </c>
      <c r="C337" s="5" t="s">
        <v>27</v>
      </c>
      <c r="D337" s="5" t="s">
        <v>19</v>
      </c>
      <c r="E337" s="5" t="s">
        <v>29</v>
      </c>
      <c r="F337" s="5" t="s">
        <v>43</v>
      </c>
      <c r="G337" s="5" t="s">
        <v>31</v>
      </c>
      <c r="H337" s="5" t="s">
        <v>23</v>
      </c>
      <c r="I337" s="5">
        <v>493</v>
      </c>
      <c r="J337" s="5">
        <v>1720</v>
      </c>
      <c r="K337" s="5">
        <v>2205.7600000000002</v>
      </c>
      <c r="L337" s="5">
        <v>1106</v>
      </c>
      <c r="M337" s="5">
        <v>98</v>
      </c>
      <c r="N337" s="5">
        <v>4</v>
      </c>
      <c r="O337" s="5" t="s">
        <v>32</v>
      </c>
      <c r="P337" s="5">
        <v>7455</v>
      </c>
      <c r="Q337" s="5" t="s">
        <v>25</v>
      </c>
      <c r="R337" s="2">
        <v>1087439.68</v>
      </c>
      <c r="S337" s="2">
        <v>239479.67999999999</v>
      </c>
      <c r="T337" s="1">
        <v>45816</v>
      </c>
      <c r="U337" s="5">
        <v>6</v>
      </c>
    </row>
    <row r="338" spans="1:21" x14ac:dyDescent="0.3">
      <c r="A338" s="5" t="s">
        <v>399</v>
      </c>
      <c r="B338" s="1">
        <v>46005</v>
      </c>
      <c r="C338" s="5" t="s">
        <v>42</v>
      </c>
      <c r="D338" s="5" t="s">
        <v>28</v>
      </c>
      <c r="E338" s="5" t="s">
        <v>54</v>
      </c>
      <c r="F338" s="5" t="s">
        <v>81</v>
      </c>
      <c r="G338" s="5" t="s">
        <v>38</v>
      </c>
      <c r="H338" s="5" t="s">
        <v>39</v>
      </c>
      <c r="I338" s="5">
        <v>150</v>
      </c>
      <c r="J338" s="5">
        <v>3839</v>
      </c>
      <c r="K338" s="5">
        <v>4959.3900000000003</v>
      </c>
      <c r="L338" s="5">
        <v>1057</v>
      </c>
      <c r="M338" s="5">
        <v>178</v>
      </c>
      <c r="N338" s="5">
        <v>6</v>
      </c>
      <c r="O338" s="5" t="s">
        <v>24</v>
      </c>
      <c r="P338" s="5">
        <v>7146</v>
      </c>
      <c r="Q338" s="5" t="s">
        <v>33</v>
      </c>
      <c r="R338" s="2">
        <v>743908.5</v>
      </c>
      <c r="S338" s="2">
        <v>168058.5</v>
      </c>
      <c r="T338" s="1">
        <v>46005</v>
      </c>
      <c r="U338" s="5">
        <v>12</v>
      </c>
    </row>
    <row r="339" spans="1:21" x14ac:dyDescent="0.3">
      <c r="A339" s="5" t="s">
        <v>400</v>
      </c>
      <c r="B339" s="1">
        <v>45838</v>
      </c>
      <c r="C339" s="5" t="s">
        <v>18</v>
      </c>
      <c r="D339" s="5" t="s">
        <v>36</v>
      </c>
      <c r="E339" s="5" t="s">
        <v>54</v>
      </c>
      <c r="F339" s="5" t="s">
        <v>55</v>
      </c>
      <c r="G339" s="5" t="s">
        <v>38</v>
      </c>
      <c r="H339" s="5" t="s">
        <v>23</v>
      </c>
      <c r="I339" s="5">
        <v>251</v>
      </c>
      <c r="J339" s="5">
        <v>4128</v>
      </c>
      <c r="K339" s="5">
        <v>5895.97</v>
      </c>
      <c r="L339" s="5">
        <v>1222</v>
      </c>
      <c r="M339" s="5">
        <v>177</v>
      </c>
      <c r="N339" s="5">
        <v>3</v>
      </c>
      <c r="O339" s="5" t="s">
        <v>24</v>
      </c>
      <c r="P339" s="5">
        <v>4637</v>
      </c>
      <c r="Q339" s="5" t="s">
        <v>46</v>
      </c>
      <c r="R339" s="2">
        <v>1479888.47</v>
      </c>
      <c r="S339" s="2">
        <v>443760.47</v>
      </c>
      <c r="T339" s="1">
        <v>45838</v>
      </c>
      <c r="U339" s="5">
        <v>6</v>
      </c>
    </row>
    <row r="340" spans="1:21" x14ac:dyDescent="0.3">
      <c r="A340" s="5" t="s">
        <v>401</v>
      </c>
      <c r="B340" s="1">
        <v>45889</v>
      </c>
      <c r="C340" s="5" t="s">
        <v>35</v>
      </c>
      <c r="D340" s="5" t="s">
        <v>28</v>
      </c>
      <c r="E340" s="5" t="s">
        <v>20</v>
      </c>
      <c r="F340" s="5" t="s">
        <v>100</v>
      </c>
      <c r="G340" s="5" t="s">
        <v>38</v>
      </c>
      <c r="H340" s="5" t="s">
        <v>39</v>
      </c>
      <c r="I340" s="5">
        <v>27</v>
      </c>
      <c r="J340" s="5">
        <v>674</v>
      </c>
      <c r="K340" s="5">
        <v>931.08</v>
      </c>
      <c r="L340" s="5">
        <v>1863</v>
      </c>
      <c r="M340" s="5">
        <v>202</v>
      </c>
      <c r="N340" s="5">
        <v>9</v>
      </c>
      <c r="O340" s="5" t="s">
        <v>24</v>
      </c>
      <c r="P340" s="5">
        <v>1811</v>
      </c>
      <c r="Q340" s="5" t="s">
        <v>40</v>
      </c>
      <c r="R340" s="2">
        <v>25139.16</v>
      </c>
      <c r="S340" s="2">
        <v>6941.16</v>
      </c>
      <c r="T340" s="1">
        <v>45889</v>
      </c>
      <c r="U340" s="5">
        <v>8</v>
      </c>
    </row>
    <row r="341" spans="1:21" x14ac:dyDescent="0.3">
      <c r="A341" s="5" t="s">
        <v>402</v>
      </c>
      <c r="B341" s="1">
        <v>45838</v>
      </c>
      <c r="C341" s="5" t="s">
        <v>42</v>
      </c>
      <c r="D341" s="5" t="s">
        <v>62</v>
      </c>
      <c r="E341" s="5" t="s">
        <v>29</v>
      </c>
      <c r="F341" s="5" t="s">
        <v>73</v>
      </c>
      <c r="G341" s="5" t="s">
        <v>56</v>
      </c>
      <c r="H341" s="5" t="s">
        <v>23</v>
      </c>
      <c r="I341" s="5">
        <v>294</v>
      </c>
      <c r="J341" s="5">
        <v>1470</v>
      </c>
      <c r="K341" s="5">
        <v>2148.4</v>
      </c>
      <c r="L341" s="5">
        <v>1160</v>
      </c>
      <c r="M341" s="5">
        <v>222</v>
      </c>
      <c r="N341" s="5">
        <v>4</v>
      </c>
      <c r="O341" s="5" t="s">
        <v>32</v>
      </c>
      <c r="P341" s="5">
        <v>2669</v>
      </c>
      <c r="Q341" s="5" t="s">
        <v>33</v>
      </c>
      <c r="R341" s="2">
        <v>631629.6</v>
      </c>
      <c r="S341" s="2">
        <v>199449.60000000001</v>
      </c>
      <c r="T341" s="1">
        <v>45838</v>
      </c>
      <c r="U341" s="5">
        <v>6</v>
      </c>
    </row>
    <row r="342" spans="1:21" x14ac:dyDescent="0.3">
      <c r="A342" s="5" t="s">
        <v>403</v>
      </c>
      <c r="B342" s="1">
        <v>46009</v>
      </c>
      <c r="C342" s="5" t="s">
        <v>18</v>
      </c>
      <c r="D342" s="5" t="s">
        <v>28</v>
      </c>
      <c r="E342" s="5" t="s">
        <v>20</v>
      </c>
      <c r="F342" s="5" t="s">
        <v>45</v>
      </c>
      <c r="G342" s="5" t="s">
        <v>31</v>
      </c>
      <c r="H342" s="5" t="s">
        <v>23</v>
      </c>
      <c r="I342" s="5">
        <v>413</v>
      </c>
      <c r="J342" s="5">
        <v>4807</v>
      </c>
      <c r="K342" s="5">
        <v>6146.46</v>
      </c>
      <c r="L342" s="5">
        <v>1025</v>
      </c>
      <c r="M342" s="5">
        <v>136</v>
      </c>
      <c r="N342" s="5">
        <v>9</v>
      </c>
      <c r="O342" s="5" t="s">
        <v>24</v>
      </c>
      <c r="P342" s="5">
        <v>1009</v>
      </c>
      <c r="Q342" s="5" t="s">
        <v>46</v>
      </c>
      <c r="R342" s="2">
        <v>2538487.98</v>
      </c>
      <c r="S342" s="2">
        <v>553196.98</v>
      </c>
      <c r="T342" s="1">
        <v>46009</v>
      </c>
      <c r="U342" s="5">
        <v>12</v>
      </c>
    </row>
    <row r="343" spans="1:21" x14ac:dyDescent="0.3">
      <c r="A343" s="5" t="s">
        <v>404</v>
      </c>
      <c r="B343" s="1">
        <v>45948</v>
      </c>
      <c r="C343" s="5" t="s">
        <v>35</v>
      </c>
      <c r="D343" s="5" t="s">
        <v>62</v>
      </c>
      <c r="E343" s="5" t="s">
        <v>20</v>
      </c>
      <c r="F343" s="5" t="s">
        <v>21</v>
      </c>
      <c r="G343" s="5" t="s">
        <v>38</v>
      </c>
      <c r="H343" s="5" t="s">
        <v>51</v>
      </c>
      <c r="I343" s="5">
        <v>134</v>
      </c>
      <c r="J343" s="5">
        <v>4708</v>
      </c>
      <c r="K343" s="5">
        <v>5979.22</v>
      </c>
      <c r="L343" s="5">
        <v>86</v>
      </c>
      <c r="M343" s="5">
        <v>267</v>
      </c>
      <c r="N343" s="5">
        <v>4</v>
      </c>
      <c r="O343" s="5" t="s">
        <v>32</v>
      </c>
      <c r="P343" s="5">
        <v>2478</v>
      </c>
      <c r="Q343" s="5" t="s">
        <v>33</v>
      </c>
      <c r="R343" s="2">
        <v>801215.48</v>
      </c>
      <c r="S343" s="2">
        <v>170343.48</v>
      </c>
      <c r="T343" s="1">
        <v>45948</v>
      </c>
      <c r="U343" s="5">
        <v>10</v>
      </c>
    </row>
    <row r="344" spans="1:21" x14ac:dyDescent="0.3">
      <c r="A344" s="5" t="s">
        <v>405</v>
      </c>
      <c r="B344" s="1">
        <v>45676</v>
      </c>
      <c r="C344" s="5" t="s">
        <v>42</v>
      </c>
      <c r="D344" s="5" t="s">
        <v>28</v>
      </c>
      <c r="E344" s="5" t="s">
        <v>20</v>
      </c>
      <c r="F344" s="5" t="s">
        <v>37</v>
      </c>
      <c r="G344" s="5" t="s">
        <v>38</v>
      </c>
      <c r="H344" s="5" t="s">
        <v>39</v>
      </c>
      <c r="I344" s="5">
        <v>34</v>
      </c>
      <c r="J344" s="5">
        <v>2169</v>
      </c>
      <c r="K344" s="5">
        <v>3241.66</v>
      </c>
      <c r="L344" s="5">
        <v>812</v>
      </c>
      <c r="M344" s="5">
        <v>185</v>
      </c>
      <c r="N344" s="5">
        <v>9</v>
      </c>
      <c r="O344" s="5" t="s">
        <v>24</v>
      </c>
      <c r="P344" s="5">
        <v>7861</v>
      </c>
      <c r="Q344" s="5" t="s">
        <v>46</v>
      </c>
      <c r="R344" s="2">
        <v>110216.44</v>
      </c>
      <c r="S344" s="2">
        <v>36470.44</v>
      </c>
      <c r="T344" s="1">
        <v>45676</v>
      </c>
      <c r="U344" s="5">
        <v>1</v>
      </c>
    </row>
    <row r="345" spans="1:21" x14ac:dyDescent="0.3">
      <c r="A345" s="5" t="s">
        <v>406</v>
      </c>
      <c r="B345" s="1">
        <v>45976</v>
      </c>
      <c r="C345" s="5" t="s">
        <v>18</v>
      </c>
      <c r="D345" s="5" t="s">
        <v>28</v>
      </c>
      <c r="E345" s="5" t="s">
        <v>29</v>
      </c>
      <c r="F345" s="5" t="s">
        <v>69</v>
      </c>
      <c r="G345" s="5" t="s">
        <v>56</v>
      </c>
      <c r="H345" s="5" t="s">
        <v>39</v>
      </c>
      <c r="I345" s="5">
        <v>177</v>
      </c>
      <c r="J345" s="5">
        <v>4322</v>
      </c>
      <c r="K345" s="5">
        <v>5475.95</v>
      </c>
      <c r="L345" s="5">
        <v>1676</v>
      </c>
      <c r="M345" s="5">
        <v>196</v>
      </c>
      <c r="N345" s="5">
        <v>6</v>
      </c>
      <c r="O345" s="5" t="s">
        <v>24</v>
      </c>
      <c r="P345" s="5">
        <v>5647</v>
      </c>
      <c r="Q345" s="5" t="s">
        <v>40</v>
      </c>
      <c r="R345" s="2">
        <v>969243.15</v>
      </c>
      <c r="S345" s="2">
        <v>204249.15</v>
      </c>
      <c r="T345" s="1">
        <v>45976</v>
      </c>
      <c r="U345" s="5">
        <v>11</v>
      </c>
    </row>
    <row r="346" spans="1:21" x14ac:dyDescent="0.3">
      <c r="A346" s="5" t="s">
        <v>407</v>
      </c>
      <c r="B346" s="1">
        <v>45934</v>
      </c>
      <c r="C346" s="5" t="s">
        <v>35</v>
      </c>
      <c r="D346" s="5" t="s">
        <v>36</v>
      </c>
      <c r="E346" s="5" t="s">
        <v>54</v>
      </c>
      <c r="F346" s="5" t="s">
        <v>63</v>
      </c>
      <c r="G346" s="5" t="s">
        <v>31</v>
      </c>
      <c r="H346" s="5" t="s">
        <v>51</v>
      </c>
      <c r="I346" s="5">
        <v>326</v>
      </c>
      <c r="J346" s="5">
        <v>4178</v>
      </c>
      <c r="K346" s="5">
        <v>4889.1099999999997</v>
      </c>
      <c r="L346" s="5">
        <v>1996</v>
      </c>
      <c r="M346" s="5">
        <v>112</v>
      </c>
      <c r="N346" s="5">
        <v>9</v>
      </c>
      <c r="O346" s="5" t="s">
        <v>24</v>
      </c>
      <c r="P346" s="5">
        <v>370</v>
      </c>
      <c r="Q346" s="5" t="s">
        <v>33</v>
      </c>
      <c r="R346" s="2">
        <v>1593849.86</v>
      </c>
      <c r="S346" s="2">
        <v>231821.86</v>
      </c>
      <c r="T346" s="1">
        <v>45934</v>
      </c>
      <c r="U346" s="5">
        <v>10</v>
      </c>
    </row>
    <row r="347" spans="1:21" x14ac:dyDescent="0.3">
      <c r="A347" s="5" t="s">
        <v>408</v>
      </c>
      <c r="B347" s="1">
        <v>46004</v>
      </c>
      <c r="C347" s="5" t="s">
        <v>35</v>
      </c>
      <c r="D347" s="5" t="s">
        <v>36</v>
      </c>
      <c r="E347" s="5" t="s">
        <v>29</v>
      </c>
      <c r="F347" s="5" t="s">
        <v>73</v>
      </c>
      <c r="G347" s="5" t="s">
        <v>31</v>
      </c>
      <c r="H347" s="5" t="s">
        <v>23</v>
      </c>
      <c r="I347" s="5">
        <v>281</v>
      </c>
      <c r="J347" s="5">
        <v>3294</v>
      </c>
      <c r="K347" s="5">
        <v>4705.99</v>
      </c>
      <c r="L347" s="5">
        <v>1297</v>
      </c>
      <c r="M347" s="5">
        <v>276</v>
      </c>
      <c r="N347" s="5">
        <v>2</v>
      </c>
      <c r="O347" s="5" t="s">
        <v>32</v>
      </c>
      <c r="P347" s="5">
        <v>4032</v>
      </c>
      <c r="Q347" s="5" t="s">
        <v>33</v>
      </c>
      <c r="R347" s="2">
        <v>1322383.19</v>
      </c>
      <c r="S347" s="2">
        <v>396769.19</v>
      </c>
      <c r="T347" s="1">
        <v>46004</v>
      </c>
      <c r="U347" s="5">
        <v>12</v>
      </c>
    </row>
    <row r="348" spans="1:21" x14ac:dyDescent="0.3">
      <c r="A348" s="5" t="s">
        <v>409</v>
      </c>
      <c r="B348" s="1">
        <v>45998</v>
      </c>
      <c r="C348" s="5" t="s">
        <v>42</v>
      </c>
      <c r="D348" s="5" t="s">
        <v>28</v>
      </c>
      <c r="E348" s="5" t="s">
        <v>54</v>
      </c>
      <c r="F348" s="5" t="s">
        <v>63</v>
      </c>
      <c r="G348" s="5" t="s">
        <v>22</v>
      </c>
      <c r="H348" s="5" t="s">
        <v>51</v>
      </c>
      <c r="I348" s="5">
        <v>51</v>
      </c>
      <c r="J348" s="5">
        <v>117</v>
      </c>
      <c r="K348" s="5">
        <v>158.08000000000001</v>
      </c>
      <c r="L348" s="5">
        <v>628</v>
      </c>
      <c r="M348" s="5">
        <v>89</v>
      </c>
      <c r="N348" s="5">
        <v>4</v>
      </c>
      <c r="O348" s="5" t="s">
        <v>32</v>
      </c>
      <c r="P348" s="5">
        <v>5430</v>
      </c>
      <c r="Q348" s="5" t="s">
        <v>33</v>
      </c>
      <c r="R348" s="2">
        <v>8062.08</v>
      </c>
      <c r="S348" s="2">
        <v>2095.08</v>
      </c>
      <c r="T348" s="1">
        <v>45998</v>
      </c>
      <c r="U348" s="5">
        <v>12</v>
      </c>
    </row>
    <row r="349" spans="1:21" x14ac:dyDescent="0.3">
      <c r="A349" s="5" t="s">
        <v>410</v>
      </c>
      <c r="B349" s="1">
        <v>45940</v>
      </c>
      <c r="C349" s="5" t="s">
        <v>35</v>
      </c>
      <c r="D349" s="5" t="s">
        <v>62</v>
      </c>
      <c r="E349" s="5" t="s">
        <v>29</v>
      </c>
      <c r="F349" s="5" t="s">
        <v>69</v>
      </c>
      <c r="G349" s="5" t="s">
        <v>38</v>
      </c>
      <c r="H349" s="5" t="s">
        <v>39</v>
      </c>
      <c r="I349" s="5">
        <v>427</v>
      </c>
      <c r="J349" s="5">
        <v>4321</v>
      </c>
      <c r="K349" s="5">
        <v>6090.42</v>
      </c>
      <c r="L349" s="5">
        <v>204</v>
      </c>
      <c r="M349" s="5">
        <v>280</v>
      </c>
      <c r="N349" s="5">
        <v>8</v>
      </c>
      <c r="O349" s="5" t="s">
        <v>24</v>
      </c>
      <c r="P349" s="5">
        <v>5702</v>
      </c>
      <c r="Q349" s="5" t="s">
        <v>33</v>
      </c>
      <c r="R349" s="2">
        <v>2600609.34</v>
      </c>
      <c r="S349" s="2">
        <v>755542.34</v>
      </c>
      <c r="T349" s="1">
        <v>45940</v>
      </c>
      <c r="U349" s="5">
        <v>10</v>
      </c>
    </row>
    <row r="350" spans="1:21" x14ac:dyDescent="0.3">
      <c r="A350" s="5" t="s">
        <v>411</v>
      </c>
      <c r="B350" s="1">
        <v>45813</v>
      </c>
      <c r="C350" s="5" t="s">
        <v>18</v>
      </c>
      <c r="D350" s="5" t="s">
        <v>36</v>
      </c>
      <c r="E350" s="5" t="s">
        <v>20</v>
      </c>
      <c r="F350" s="5" t="s">
        <v>45</v>
      </c>
      <c r="G350" s="5" t="s">
        <v>31</v>
      </c>
      <c r="H350" s="5" t="s">
        <v>23</v>
      </c>
      <c r="I350" s="5">
        <v>208</v>
      </c>
      <c r="J350" s="5">
        <v>480</v>
      </c>
      <c r="K350" s="5">
        <v>632.6</v>
      </c>
      <c r="L350" s="5">
        <v>1993</v>
      </c>
      <c r="M350" s="5">
        <v>163</v>
      </c>
      <c r="N350" s="5">
        <v>2</v>
      </c>
      <c r="O350" s="5" t="s">
        <v>32</v>
      </c>
      <c r="P350" s="5">
        <v>3342</v>
      </c>
      <c r="Q350" s="5" t="s">
        <v>33</v>
      </c>
      <c r="R350" s="2">
        <v>131580.79999999999</v>
      </c>
      <c r="S350" s="2">
        <v>31740.799999999999</v>
      </c>
      <c r="T350" s="1">
        <v>45813</v>
      </c>
      <c r="U350" s="5">
        <v>6</v>
      </c>
    </row>
    <row r="351" spans="1:21" x14ac:dyDescent="0.3">
      <c r="A351" s="5" t="s">
        <v>412</v>
      </c>
      <c r="B351" s="1">
        <v>45785</v>
      </c>
      <c r="C351" s="5" t="s">
        <v>35</v>
      </c>
      <c r="D351" s="5" t="s">
        <v>28</v>
      </c>
      <c r="E351" s="5" t="s">
        <v>20</v>
      </c>
      <c r="F351" s="5" t="s">
        <v>21</v>
      </c>
      <c r="G351" s="5" t="s">
        <v>56</v>
      </c>
      <c r="H351" s="5" t="s">
        <v>39</v>
      </c>
      <c r="I351" s="5">
        <v>232</v>
      </c>
      <c r="J351" s="5">
        <v>3966</v>
      </c>
      <c r="K351" s="5">
        <v>4645.8999999999996</v>
      </c>
      <c r="L351" s="5">
        <v>1169</v>
      </c>
      <c r="M351" s="5">
        <v>296</v>
      </c>
      <c r="N351" s="5">
        <v>4</v>
      </c>
      <c r="O351" s="5" t="s">
        <v>32</v>
      </c>
      <c r="P351" s="5">
        <v>3455</v>
      </c>
      <c r="Q351" s="5" t="s">
        <v>33</v>
      </c>
      <c r="R351" s="2">
        <v>1077848.8</v>
      </c>
      <c r="S351" s="2">
        <v>157736.79999999999</v>
      </c>
      <c r="T351" s="1">
        <v>45785</v>
      </c>
      <c r="U351" s="5">
        <v>5</v>
      </c>
    </row>
    <row r="352" spans="1:21" x14ac:dyDescent="0.3">
      <c r="A352" s="5" t="s">
        <v>413</v>
      </c>
      <c r="B352" s="1">
        <v>45697</v>
      </c>
      <c r="C352" s="5" t="s">
        <v>18</v>
      </c>
      <c r="D352" s="5" t="s">
        <v>19</v>
      </c>
      <c r="E352" s="5" t="s">
        <v>20</v>
      </c>
      <c r="F352" s="5" t="s">
        <v>45</v>
      </c>
      <c r="G352" s="5" t="s">
        <v>22</v>
      </c>
      <c r="H352" s="5" t="s">
        <v>51</v>
      </c>
      <c r="I352" s="5">
        <v>57</v>
      </c>
      <c r="J352" s="5">
        <v>1233</v>
      </c>
      <c r="K352" s="5">
        <v>1582.17</v>
      </c>
      <c r="L352" s="5">
        <v>1651</v>
      </c>
      <c r="M352" s="5">
        <v>259</v>
      </c>
      <c r="N352" s="5">
        <v>4</v>
      </c>
      <c r="O352" s="5" t="s">
        <v>32</v>
      </c>
      <c r="P352" s="5">
        <v>5015</v>
      </c>
      <c r="Q352" s="5" t="s">
        <v>33</v>
      </c>
      <c r="R352" s="2">
        <v>90183.69</v>
      </c>
      <c r="S352" s="2">
        <v>19902.689999999999</v>
      </c>
      <c r="T352" s="1">
        <v>45697</v>
      </c>
      <c r="U352" s="5">
        <v>2</v>
      </c>
    </row>
    <row r="353" spans="1:21" x14ac:dyDescent="0.3">
      <c r="A353" s="5" t="s">
        <v>414</v>
      </c>
      <c r="B353" s="1">
        <v>45750</v>
      </c>
      <c r="C353" s="5" t="s">
        <v>42</v>
      </c>
      <c r="D353" s="5" t="s">
        <v>36</v>
      </c>
      <c r="E353" s="5" t="s">
        <v>29</v>
      </c>
      <c r="F353" s="5" t="s">
        <v>69</v>
      </c>
      <c r="G353" s="5" t="s">
        <v>31</v>
      </c>
      <c r="H353" s="5" t="s">
        <v>39</v>
      </c>
      <c r="I353" s="5">
        <v>90</v>
      </c>
      <c r="J353" s="5">
        <v>3477</v>
      </c>
      <c r="K353" s="5">
        <v>4503.96</v>
      </c>
      <c r="L353" s="5">
        <v>1815</v>
      </c>
      <c r="M353" s="5">
        <v>131</v>
      </c>
      <c r="N353" s="5">
        <v>8</v>
      </c>
      <c r="O353" s="5" t="s">
        <v>24</v>
      </c>
      <c r="P353" s="5">
        <v>7215</v>
      </c>
      <c r="Q353" s="5" t="s">
        <v>40</v>
      </c>
      <c r="R353" s="2">
        <v>405356.4</v>
      </c>
      <c r="S353" s="2">
        <v>92426.4</v>
      </c>
      <c r="T353" s="1">
        <v>45750</v>
      </c>
      <c r="U353" s="5">
        <v>4</v>
      </c>
    </row>
    <row r="354" spans="1:21" x14ac:dyDescent="0.3">
      <c r="A354" s="5" t="s">
        <v>415</v>
      </c>
      <c r="B354" s="1">
        <v>45891</v>
      </c>
      <c r="C354" s="5" t="s">
        <v>18</v>
      </c>
      <c r="D354" s="5" t="s">
        <v>53</v>
      </c>
      <c r="E354" s="5" t="s">
        <v>20</v>
      </c>
      <c r="F354" s="5" t="s">
        <v>21</v>
      </c>
      <c r="G354" s="5" t="s">
        <v>31</v>
      </c>
      <c r="H354" s="5" t="s">
        <v>39</v>
      </c>
      <c r="I354" s="5">
        <v>440</v>
      </c>
      <c r="J354" s="5">
        <v>2098</v>
      </c>
      <c r="K354" s="5">
        <v>2896.38</v>
      </c>
      <c r="L354" s="5">
        <v>1182</v>
      </c>
      <c r="M354" s="5">
        <v>274</v>
      </c>
      <c r="N354" s="5">
        <v>4</v>
      </c>
      <c r="O354" s="5" t="s">
        <v>32</v>
      </c>
      <c r="P354" s="5">
        <v>847</v>
      </c>
      <c r="Q354" s="5" t="s">
        <v>33</v>
      </c>
      <c r="R354" s="2">
        <v>1274407.2</v>
      </c>
      <c r="S354" s="2">
        <v>351287.2</v>
      </c>
      <c r="T354" s="1">
        <v>45891</v>
      </c>
      <c r="U354" s="5">
        <v>8</v>
      </c>
    </row>
    <row r="355" spans="1:21" x14ac:dyDescent="0.3">
      <c r="A355" s="5" t="s">
        <v>416</v>
      </c>
      <c r="B355" s="1">
        <v>45821</v>
      </c>
      <c r="C355" s="5" t="s">
        <v>35</v>
      </c>
      <c r="D355" s="5" t="s">
        <v>62</v>
      </c>
      <c r="E355" s="5" t="s">
        <v>54</v>
      </c>
      <c r="F355" s="5" t="s">
        <v>55</v>
      </c>
      <c r="G355" s="5" t="s">
        <v>31</v>
      </c>
      <c r="H355" s="5" t="s">
        <v>51</v>
      </c>
      <c r="I355" s="5">
        <v>99</v>
      </c>
      <c r="J355" s="5">
        <v>5000</v>
      </c>
      <c r="K355" s="5">
        <v>6344.74</v>
      </c>
      <c r="L355" s="5">
        <v>1209</v>
      </c>
      <c r="M355" s="5">
        <v>217</v>
      </c>
      <c r="N355" s="5">
        <v>5</v>
      </c>
      <c r="O355" s="5" t="s">
        <v>24</v>
      </c>
      <c r="P355" s="5">
        <v>6270</v>
      </c>
      <c r="Q355" s="5" t="s">
        <v>33</v>
      </c>
      <c r="R355" s="2">
        <v>628129.26</v>
      </c>
      <c r="S355" s="2">
        <v>133129.26</v>
      </c>
      <c r="T355" s="1">
        <v>45821</v>
      </c>
      <c r="U355" s="5">
        <v>6</v>
      </c>
    </row>
    <row r="356" spans="1:21" x14ac:dyDescent="0.3">
      <c r="A356" s="5" t="s">
        <v>417</v>
      </c>
      <c r="B356" s="1">
        <v>45735</v>
      </c>
      <c r="C356" s="5" t="s">
        <v>27</v>
      </c>
      <c r="D356" s="5" t="s">
        <v>36</v>
      </c>
      <c r="E356" s="5" t="s">
        <v>20</v>
      </c>
      <c r="F356" s="5" t="s">
        <v>21</v>
      </c>
      <c r="G356" s="5" t="s">
        <v>56</v>
      </c>
      <c r="H356" s="5" t="s">
        <v>23</v>
      </c>
      <c r="I356" s="5">
        <v>468</v>
      </c>
      <c r="J356" s="5">
        <v>3740</v>
      </c>
      <c r="K356" s="5">
        <v>4323.1400000000003</v>
      </c>
      <c r="L356" s="5">
        <v>1571</v>
      </c>
      <c r="M356" s="5">
        <v>100</v>
      </c>
      <c r="N356" s="5">
        <v>8</v>
      </c>
      <c r="O356" s="5" t="s">
        <v>24</v>
      </c>
      <c r="P356" s="5">
        <v>1187</v>
      </c>
      <c r="Q356" s="5" t="s">
        <v>25</v>
      </c>
      <c r="R356" s="2">
        <v>2023229.52</v>
      </c>
      <c r="S356" s="2">
        <v>272909.52</v>
      </c>
      <c r="T356" s="1">
        <v>45735</v>
      </c>
      <c r="U356" s="5">
        <v>3</v>
      </c>
    </row>
    <row r="357" spans="1:21" x14ac:dyDescent="0.3">
      <c r="A357" s="5" t="s">
        <v>418</v>
      </c>
      <c r="B357" s="1">
        <v>45983</v>
      </c>
      <c r="C357" s="5" t="s">
        <v>42</v>
      </c>
      <c r="D357" s="5" t="s">
        <v>28</v>
      </c>
      <c r="E357" s="5" t="s">
        <v>20</v>
      </c>
      <c r="F357" s="5" t="s">
        <v>37</v>
      </c>
      <c r="G357" s="5" t="s">
        <v>22</v>
      </c>
      <c r="H357" s="5" t="s">
        <v>51</v>
      </c>
      <c r="I357" s="5">
        <v>199</v>
      </c>
      <c r="J357" s="5">
        <v>1644</v>
      </c>
      <c r="K357" s="5">
        <v>2430.36</v>
      </c>
      <c r="L357" s="5">
        <v>1081</v>
      </c>
      <c r="M357" s="5">
        <v>256</v>
      </c>
      <c r="N357" s="5">
        <v>1</v>
      </c>
      <c r="O357" s="5" t="s">
        <v>32</v>
      </c>
      <c r="P357" s="5">
        <v>2463</v>
      </c>
      <c r="Q357" s="5" t="s">
        <v>25</v>
      </c>
      <c r="R357" s="2">
        <v>483641.64</v>
      </c>
      <c r="S357" s="2">
        <v>156485.64000000001</v>
      </c>
      <c r="T357" s="1">
        <v>45983</v>
      </c>
      <c r="U357" s="5">
        <v>11</v>
      </c>
    </row>
    <row r="358" spans="1:21" x14ac:dyDescent="0.3">
      <c r="A358" s="5" t="s">
        <v>419</v>
      </c>
      <c r="B358" s="1">
        <v>45741</v>
      </c>
      <c r="C358" s="5" t="s">
        <v>27</v>
      </c>
      <c r="D358" s="5" t="s">
        <v>36</v>
      </c>
      <c r="E358" s="5" t="s">
        <v>20</v>
      </c>
      <c r="F358" s="5" t="s">
        <v>100</v>
      </c>
      <c r="G358" s="5" t="s">
        <v>22</v>
      </c>
      <c r="H358" s="5" t="s">
        <v>51</v>
      </c>
      <c r="I358" s="5">
        <v>216</v>
      </c>
      <c r="J358" s="5">
        <v>4992</v>
      </c>
      <c r="K358" s="5">
        <v>6915.91</v>
      </c>
      <c r="L358" s="5">
        <v>1296</v>
      </c>
      <c r="M358" s="5">
        <v>213</v>
      </c>
      <c r="N358" s="5">
        <v>7</v>
      </c>
      <c r="O358" s="5" t="s">
        <v>24</v>
      </c>
      <c r="P358" s="5">
        <v>5422</v>
      </c>
      <c r="Q358" s="5" t="s">
        <v>46</v>
      </c>
      <c r="R358" s="2">
        <v>1493836.56</v>
      </c>
      <c r="S358" s="2">
        <v>415564.56</v>
      </c>
      <c r="T358" s="1">
        <v>45741</v>
      </c>
      <c r="U358" s="5">
        <v>3</v>
      </c>
    </row>
    <row r="359" spans="1:21" x14ac:dyDescent="0.3">
      <c r="A359" s="5" t="s">
        <v>420</v>
      </c>
      <c r="B359" s="1">
        <v>45943</v>
      </c>
      <c r="C359" s="5" t="s">
        <v>35</v>
      </c>
      <c r="D359" s="5" t="s">
        <v>28</v>
      </c>
      <c r="E359" s="5" t="s">
        <v>54</v>
      </c>
      <c r="F359" s="5" t="s">
        <v>78</v>
      </c>
      <c r="G359" s="5" t="s">
        <v>56</v>
      </c>
      <c r="H359" s="5" t="s">
        <v>23</v>
      </c>
      <c r="I359" s="5">
        <v>395</v>
      </c>
      <c r="J359" s="5">
        <v>4899</v>
      </c>
      <c r="K359" s="5">
        <v>6217.85</v>
      </c>
      <c r="L359" s="5">
        <v>1764</v>
      </c>
      <c r="M359" s="5">
        <v>241</v>
      </c>
      <c r="N359" s="5">
        <v>8</v>
      </c>
      <c r="O359" s="5" t="s">
        <v>24</v>
      </c>
      <c r="P359" s="5">
        <v>6913</v>
      </c>
      <c r="Q359" s="5" t="s">
        <v>46</v>
      </c>
      <c r="R359" s="2">
        <v>2456050.75</v>
      </c>
      <c r="S359" s="2">
        <v>520945.75</v>
      </c>
      <c r="T359" s="1">
        <v>45943</v>
      </c>
      <c r="U359" s="5">
        <v>10</v>
      </c>
    </row>
    <row r="360" spans="1:21" x14ac:dyDescent="0.3">
      <c r="A360" s="5" t="s">
        <v>421</v>
      </c>
      <c r="B360" s="1">
        <v>45884</v>
      </c>
      <c r="C360" s="5" t="s">
        <v>35</v>
      </c>
      <c r="D360" s="5" t="s">
        <v>19</v>
      </c>
      <c r="E360" s="5" t="s">
        <v>49</v>
      </c>
      <c r="F360" s="5" t="s">
        <v>50</v>
      </c>
      <c r="G360" s="5" t="s">
        <v>56</v>
      </c>
      <c r="H360" s="5" t="s">
        <v>51</v>
      </c>
      <c r="I360" s="5">
        <v>114</v>
      </c>
      <c r="J360" s="5">
        <v>1880</v>
      </c>
      <c r="K360" s="5">
        <v>2811.13</v>
      </c>
      <c r="L360" s="5">
        <v>1008</v>
      </c>
      <c r="M360" s="5">
        <v>129</v>
      </c>
      <c r="N360" s="5">
        <v>3</v>
      </c>
      <c r="O360" s="5" t="s">
        <v>32</v>
      </c>
      <c r="P360" s="5">
        <v>2619</v>
      </c>
      <c r="Q360" s="5" t="s">
        <v>33</v>
      </c>
      <c r="R360" s="2">
        <v>320468.82</v>
      </c>
      <c r="S360" s="2">
        <v>106148.82</v>
      </c>
      <c r="T360" s="1">
        <v>45884</v>
      </c>
      <c r="U360" s="5">
        <v>8</v>
      </c>
    </row>
    <row r="361" spans="1:21" x14ac:dyDescent="0.3">
      <c r="A361" s="5" t="s">
        <v>422</v>
      </c>
      <c r="B361" s="1">
        <v>45903</v>
      </c>
      <c r="C361" s="5" t="s">
        <v>42</v>
      </c>
      <c r="D361" s="5" t="s">
        <v>36</v>
      </c>
      <c r="E361" s="5" t="s">
        <v>54</v>
      </c>
      <c r="F361" s="5" t="s">
        <v>87</v>
      </c>
      <c r="G361" s="5" t="s">
        <v>31</v>
      </c>
      <c r="H361" s="5" t="s">
        <v>51</v>
      </c>
      <c r="I361" s="5">
        <v>493</v>
      </c>
      <c r="J361" s="5">
        <v>2882</v>
      </c>
      <c r="K361" s="5">
        <v>3466.58</v>
      </c>
      <c r="L361" s="5">
        <v>1123</v>
      </c>
      <c r="M361" s="5">
        <v>140</v>
      </c>
      <c r="N361" s="5">
        <v>6</v>
      </c>
      <c r="O361" s="5" t="s">
        <v>24</v>
      </c>
      <c r="P361" s="5">
        <v>2711</v>
      </c>
      <c r="Q361" s="5" t="s">
        <v>40</v>
      </c>
      <c r="R361" s="2">
        <v>1709023.94</v>
      </c>
      <c r="S361" s="2">
        <v>288197.94</v>
      </c>
      <c r="T361" s="1">
        <v>45903</v>
      </c>
      <c r="U361" s="5">
        <v>9</v>
      </c>
    </row>
    <row r="362" spans="1:21" x14ac:dyDescent="0.3">
      <c r="A362" s="5" t="s">
        <v>423</v>
      </c>
      <c r="B362" s="1">
        <v>45912</v>
      </c>
      <c r="C362" s="5" t="s">
        <v>35</v>
      </c>
      <c r="D362" s="5" t="s">
        <v>36</v>
      </c>
      <c r="E362" s="5" t="s">
        <v>49</v>
      </c>
      <c r="F362" s="5" t="s">
        <v>65</v>
      </c>
      <c r="G362" s="5" t="s">
        <v>38</v>
      </c>
      <c r="H362" s="5" t="s">
        <v>39</v>
      </c>
      <c r="I362" s="5">
        <v>134</v>
      </c>
      <c r="J362" s="5">
        <v>602</v>
      </c>
      <c r="K362" s="5">
        <v>897.34</v>
      </c>
      <c r="L362" s="5">
        <v>1893</v>
      </c>
      <c r="M362" s="5">
        <v>101</v>
      </c>
      <c r="N362" s="5">
        <v>9</v>
      </c>
      <c r="O362" s="5" t="s">
        <v>24</v>
      </c>
      <c r="P362" s="5">
        <v>5365</v>
      </c>
      <c r="Q362" s="5" t="s">
        <v>46</v>
      </c>
      <c r="R362" s="2">
        <v>120243.56</v>
      </c>
      <c r="S362" s="2">
        <v>39575.56</v>
      </c>
      <c r="T362" s="1">
        <v>45912</v>
      </c>
      <c r="U362" s="5">
        <v>9</v>
      </c>
    </row>
    <row r="363" spans="1:21" x14ac:dyDescent="0.3">
      <c r="A363" s="5" t="s">
        <v>424</v>
      </c>
      <c r="B363" s="1">
        <v>45876</v>
      </c>
      <c r="C363" s="5" t="s">
        <v>35</v>
      </c>
      <c r="D363" s="5" t="s">
        <v>19</v>
      </c>
      <c r="E363" s="5" t="s">
        <v>54</v>
      </c>
      <c r="F363" s="5" t="s">
        <v>87</v>
      </c>
      <c r="G363" s="5" t="s">
        <v>56</v>
      </c>
      <c r="H363" s="5" t="s">
        <v>51</v>
      </c>
      <c r="I363" s="5">
        <v>425</v>
      </c>
      <c r="J363" s="5">
        <v>240</v>
      </c>
      <c r="K363" s="5">
        <v>335.66</v>
      </c>
      <c r="L363" s="5">
        <v>1069</v>
      </c>
      <c r="M363" s="5">
        <v>217</v>
      </c>
      <c r="N363" s="5">
        <v>7</v>
      </c>
      <c r="O363" s="5" t="s">
        <v>24</v>
      </c>
      <c r="P363" s="5">
        <v>5207</v>
      </c>
      <c r="Q363" s="5" t="s">
        <v>46</v>
      </c>
      <c r="R363" s="2">
        <v>142655.5</v>
      </c>
      <c r="S363" s="2">
        <v>40655.5</v>
      </c>
      <c r="T363" s="1">
        <v>45876</v>
      </c>
      <c r="U363" s="5">
        <v>8</v>
      </c>
    </row>
    <row r="364" spans="1:21" x14ac:dyDescent="0.3">
      <c r="A364" s="5" t="s">
        <v>425</v>
      </c>
      <c r="B364" s="1">
        <v>45690</v>
      </c>
      <c r="C364" s="5" t="s">
        <v>35</v>
      </c>
      <c r="D364" s="5" t="s">
        <v>36</v>
      </c>
      <c r="E364" s="5" t="s">
        <v>20</v>
      </c>
      <c r="F364" s="5" t="s">
        <v>60</v>
      </c>
      <c r="G364" s="5" t="s">
        <v>56</v>
      </c>
      <c r="H364" s="5" t="s">
        <v>39</v>
      </c>
      <c r="I364" s="5">
        <v>332</v>
      </c>
      <c r="J364" s="5">
        <v>354</v>
      </c>
      <c r="K364" s="5">
        <v>519.73</v>
      </c>
      <c r="L364" s="5">
        <v>412</v>
      </c>
      <c r="M364" s="5">
        <v>132</v>
      </c>
      <c r="N364" s="5">
        <v>6</v>
      </c>
      <c r="O364" s="5" t="s">
        <v>24</v>
      </c>
      <c r="P364" s="5">
        <v>3828</v>
      </c>
      <c r="Q364" s="5" t="s">
        <v>25</v>
      </c>
      <c r="R364" s="2">
        <v>172550.36</v>
      </c>
      <c r="S364" s="2">
        <v>55022.36</v>
      </c>
      <c r="T364" s="1">
        <v>45690</v>
      </c>
      <c r="U364" s="5">
        <v>2</v>
      </c>
    </row>
    <row r="365" spans="1:21" x14ac:dyDescent="0.3">
      <c r="A365" s="5" t="s">
        <v>426</v>
      </c>
      <c r="B365" s="1">
        <v>46000</v>
      </c>
      <c r="C365" s="5" t="s">
        <v>35</v>
      </c>
      <c r="D365" s="5" t="s">
        <v>36</v>
      </c>
      <c r="E365" s="5" t="s">
        <v>54</v>
      </c>
      <c r="F365" s="5" t="s">
        <v>78</v>
      </c>
      <c r="G365" s="5" t="s">
        <v>38</v>
      </c>
      <c r="H365" s="5" t="s">
        <v>39</v>
      </c>
      <c r="I365" s="5">
        <v>278</v>
      </c>
      <c r="J365" s="5">
        <v>303</v>
      </c>
      <c r="K365" s="5">
        <v>390.46</v>
      </c>
      <c r="L365" s="5">
        <v>1336</v>
      </c>
      <c r="M365" s="5">
        <v>192</v>
      </c>
      <c r="N365" s="5">
        <v>8</v>
      </c>
      <c r="O365" s="5" t="s">
        <v>24</v>
      </c>
      <c r="P365" s="5">
        <v>4527</v>
      </c>
      <c r="Q365" s="5" t="s">
        <v>40</v>
      </c>
      <c r="R365" s="2">
        <v>108547.88</v>
      </c>
      <c r="S365" s="2">
        <v>24313.88</v>
      </c>
      <c r="T365" s="1">
        <v>46000</v>
      </c>
      <c r="U365" s="5">
        <v>12</v>
      </c>
    </row>
    <row r="366" spans="1:21" x14ac:dyDescent="0.3">
      <c r="A366" s="5" t="s">
        <v>427</v>
      </c>
      <c r="B366" s="1">
        <v>45809</v>
      </c>
      <c r="C366" s="5" t="s">
        <v>42</v>
      </c>
      <c r="D366" s="5" t="s">
        <v>28</v>
      </c>
      <c r="E366" s="5" t="s">
        <v>54</v>
      </c>
      <c r="F366" s="5" t="s">
        <v>63</v>
      </c>
      <c r="G366" s="5" t="s">
        <v>31</v>
      </c>
      <c r="H366" s="5" t="s">
        <v>39</v>
      </c>
      <c r="I366" s="5">
        <v>71</v>
      </c>
      <c r="J366" s="5">
        <v>2383</v>
      </c>
      <c r="K366" s="5">
        <v>3342.57</v>
      </c>
      <c r="L366" s="5">
        <v>1362</v>
      </c>
      <c r="M366" s="5">
        <v>234</v>
      </c>
      <c r="N366" s="5">
        <v>3</v>
      </c>
      <c r="O366" s="5" t="s">
        <v>32</v>
      </c>
      <c r="P366" s="5">
        <v>6498</v>
      </c>
      <c r="Q366" s="5" t="s">
        <v>33</v>
      </c>
      <c r="R366" s="2">
        <v>237322.47</v>
      </c>
      <c r="S366" s="2">
        <v>68129.47</v>
      </c>
      <c r="T366" s="1">
        <v>45809</v>
      </c>
      <c r="U366" s="5">
        <v>6</v>
      </c>
    </row>
    <row r="367" spans="1:21" x14ac:dyDescent="0.3">
      <c r="A367" s="5" t="s">
        <v>428</v>
      </c>
      <c r="B367" s="1">
        <v>45732</v>
      </c>
      <c r="C367" s="5" t="s">
        <v>18</v>
      </c>
      <c r="D367" s="5" t="s">
        <v>53</v>
      </c>
      <c r="E367" s="5" t="s">
        <v>29</v>
      </c>
      <c r="F367" s="5" t="s">
        <v>43</v>
      </c>
      <c r="G367" s="5" t="s">
        <v>22</v>
      </c>
      <c r="H367" s="5" t="s">
        <v>23</v>
      </c>
      <c r="I367" s="5">
        <v>185</v>
      </c>
      <c r="J367" s="5">
        <v>2322</v>
      </c>
      <c r="K367" s="5">
        <v>2981.36</v>
      </c>
      <c r="L367" s="5">
        <v>1415</v>
      </c>
      <c r="M367" s="5">
        <v>122</v>
      </c>
      <c r="N367" s="5">
        <v>3</v>
      </c>
      <c r="O367" s="5" t="s">
        <v>24</v>
      </c>
      <c r="P367" s="5">
        <v>7595</v>
      </c>
      <c r="Q367" s="5" t="s">
        <v>25</v>
      </c>
      <c r="R367" s="2">
        <v>551551.6</v>
      </c>
      <c r="S367" s="2">
        <v>121981.6</v>
      </c>
      <c r="T367" s="1">
        <v>45732</v>
      </c>
      <c r="U367" s="5">
        <v>3</v>
      </c>
    </row>
    <row r="368" spans="1:21" x14ac:dyDescent="0.3">
      <c r="A368" s="5" t="s">
        <v>429</v>
      </c>
      <c r="B368" s="1">
        <v>45850</v>
      </c>
      <c r="C368" s="5" t="s">
        <v>35</v>
      </c>
      <c r="D368" s="5" t="s">
        <v>28</v>
      </c>
      <c r="E368" s="5" t="s">
        <v>49</v>
      </c>
      <c r="F368" s="5" t="s">
        <v>50</v>
      </c>
      <c r="G368" s="5" t="s">
        <v>22</v>
      </c>
      <c r="H368" s="5" t="s">
        <v>39</v>
      </c>
      <c r="I368" s="5">
        <v>261</v>
      </c>
      <c r="J368" s="5">
        <v>4706</v>
      </c>
      <c r="K368" s="5">
        <v>5876.01</v>
      </c>
      <c r="L368" s="5">
        <v>1002</v>
      </c>
      <c r="M368" s="5">
        <v>176</v>
      </c>
      <c r="N368" s="5">
        <v>3</v>
      </c>
      <c r="O368" s="5" t="s">
        <v>32</v>
      </c>
      <c r="P368" s="5">
        <v>2307</v>
      </c>
      <c r="Q368" s="5" t="s">
        <v>33</v>
      </c>
      <c r="R368" s="2">
        <v>1533638.61</v>
      </c>
      <c r="S368" s="2">
        <v>305372.61</v>
      </c>
      <c r="T368" s="1">
        <v>45850</v>
      </c>
      <c r="U368" s="5">
        <v>7</v>
      </c>
    </row>
    <row r="369" spans="1:21" x14ac:dyDescent="0.3">
      <c r="A369" s="5" t="s">
        <v>430</v>
      </c>
      <c r="B369" s="1">
        <v>45812</v>
      </c>
      <c r="C369" s="5" t="s">
        <v>27</v>
      </c>
      <c r="D369" s="5" t="s">
        <v>28</v>
      </c>
      <c r="E369" s="5" t="s">
        <v>20</v>
      </c>
      <c r="F369" s="5" t="s">
        <v>100</v>
      </c>
      <c r="G369" s="5" t="s">
        <v>38</v>
      </c>
      <c r="H369" s="5" t="s">
        <v>51</v>
      </c>
      <c r="I369" s="5">
        <v>275</v>
      </c>
      <c r="J369" s="5">
        <v>4608</v>
      </c>
      <c r="K369" s="5">
        <v>6649.22</v>
      </c>
      <c r="L369" s="5">
        <v>543</v>
      </c>
      <c r="M369" s="5">
        <v>166</v>
      </c>
      <c r="N369" s="5">
        <v>10</v>
      </c>
      <c r="O369" s="5" t="s">
        <v>24</v>
      </c>
      <c r="P369" s="5">
        <v>5342</v>
      </c>
      <c r="Q369" s="5" t="s">
        <v>46</v>
      </c>
      <c r="R369" s="2">
        <v>1828535.5</v>
      </c>
      <c r="S369" s="2">
        <v>561335.5</v>
      </c>
      <c r="T369" s="1">
        <v>45812</v>
      </c>
      <c r="U369" s="5">
        <v>6</v>
      </c>
    </row>
    <row r="370" spans="1:21" x14ac:dyDescent="0.3">
      <c r="A370" s="5" t="s">
        <v>431</v>
      </c>
      <c r="B370" s="1">
        <v>45681</v>
      </c>
      <c r="C370" s="5" t="s">
        <v>42</v>
      </c>
      <c r="D370" s="5" t="s">
        <v>28</v>
      </c>
      <c r="E370" s="5" t="s">
        <v>20</v>
      </c>
      <c r="F370" s="5" t="s">
        <v>60</v>
      </c>
      <c r="G370" s="5" t="s">
        <v>22</v>
      </c>
      <c r="H370" s="5" t="s">
        <v>39</v>
      </c>
      <c r="I370" s="5">
        <v>440</v>
      </c>
      <c r="J370" s="5">
        <v>2915</v>
      </c>
      <c r="K370" s="5">
        <v>3910.17</v>
      </c>
      <c r="L370" s="5">
        <v>1776</v>
      </c>
      <c r="M370" s="5">
        <v>160</v>
      </c>
      <c r="N370" s="5">
        <v>10</v>
      </c>
      <c r="O370" s="5" t="s">
        <v>24</v>
      </c>
      <c r="P370" s="5">
        <v>2081</v>
      </c>
      <c r="Q370" s="5" t="s">
        <v>40</v>
      </c>
      <c r="R370" s="2">
        <v>1720474.8</v>
      </c>
      <c r="S370" s="2">
        <v>437874.8</v>
      </c>
      <c r="T370" s="1">
        <v>45681</v>
      </c>
      <c r="U370" s="5">
        <v>1</v>
      </c>
    </row>
    <row r="371" spans="1:21" x14ac:dyDescent="0.3">
      <c r="A371" s="5" t="s">
        <v>432</v>
      </c>
      <c r="B371" s="1">
        <v>45992</v>
      </c>
      <c r="C371" s="5" t="s">
        <v>27</v>
      </c>
      <c r="D371" s="5" t="s">
        <v>53</v>
      </c>
      <c r="E371" s="5" t="s">
        <v>29</v>
      </c>
      <c r="F371" s="5" t="s">
        <v>30</v>
      </c>
      <c r="G371" s="5" t="s">
        <v>38</v>
      </c>
      <c r="H371" s="5" t="s">
        <v>39</v>
      </c>
      <c r="I371" s="5">
        <v>385</v>
      </c>
      <c r="J371" s="5">
        <v>2891</v>
      </c>
      <c r="K371" s="5">
        <v>4034.86</v>
      </c>
      <c r="L371" s="5">
        <v>737</v>
      </c>
      <c r="M371" s="5">
        <v>184</v>
      </c>
      <c r="N371" s="5">
        <v>6</v>
      </c>
      <c r="O371" s="5" t="s">
        <v>24</v>
      </c>
      <c r="P371" s="5">
        <v>7320</v>
      </c>
      <c r="Q371" s="5" t="s">
        <v>40</v>
      </c>
      <c r="R371" s="2">
        <v>1553421.1</v>
      </c>
      <c r="S371" s="2">
        <v>440386.1</v>
      </c>
      <c r="T371" s="1">
        <v>45992</v>
      </c>
      <c r="U371" s="5">
        <v>12</v>
      </c>
    </row>
    <row r="372" spans="1:21" x14ac:dyDescent="0.3">
      <c r="A372" s="5" t="s">
        <v>433</v>
      </c>
      <c r="B372" s="1">
        <v>45987</v>
      </c>
      <c r="C372" s="5" t="s">
        <v>42</v>
      </c>
      <c r="D372" s="5" t="s">
        <v>62</v>
      </c>
      <c r="E372" s="5" t="s">
        <v>29</v>
      </c>
      <c r="F372" s="5" t="s">
        <v>73</v>
      </c>
      <c r="G372" s="5" t="s">
        <v>22</v>
      </c>
      <c r="H372" s="5" t="s">
        <v>23</v>
      </c>
      <c r="I372" s="5">
        <v>220</v>
      </c>
      <c r="J372" s="5">
        <v>2848</v>
      </c>
      <c r="K372" s="5">
        <v>3499.27</v>
      </c>
      <c r="L372" s="5">
        <v>1212</v>
      </c>
      <c r="M372" s="5">
        <v>153</v>
      </c>
      <c r="N372" s="5">
        <v>6</v>
      </c>
      <c r="O372" s="5" t="s">
        <v>24</v>
      </c>
      <c r="P372" s="5">
        <v>1213</v>
      </c>
      <c r="Q372" s="5" t="s">
        <v>33</v>
      </c>
      <c r="R372" s="2">
        <v>769839.4</v>
      </c>
      <c r="S372" s="2">
        <v>143279.4</v>
      </c>
      <c r="T372" s="1">
        <v>45987</v>
      </c>
      <c r="U372" s="5">
        <v>11</v>
      </c>
    </row>
    <row r="373" spans="1:21" x14ac:dyDescent="0.3">
      <c r="A373" s="5" t="s">
        <v>434</v>
      </c>
      <c r="B373" s="1">
        <v>45798</v>
      </c>
      <c r="C373" s="5" t="s">
        <v>27</v>
      </c>
      <c r="D373" s="5" t="s">
        <v>36</v>
      </c>
      <c r="E373" s="5" t="s">
        <v>29</v>
      </c>
      <c r="F373" s="5" t="s">
        <v>73</v>
      </c>
      <c r="G373" s="5" t="s">
        <v>31</v>
      </c>
      <c r="H373" s="5" t="s">
        <v>51</v>
      </c>
      <c r="I373" s="5">
        <v>293</v>
      </c>
      <c r="J373" s="5">
        <v>1250</v>
      </c>
      <c r="K373" s="5">
        <v>1504.99</v>
      </c>
      <c r="L373" s="5">
        <v>1584</v>
      </c>
      <c r="M373" s="5">
        <v>195</v>
      </c>
      <c r="N373" s="5">
        <v>8</v>
      </c>
      <c r="O373" s="5" t="s">
        <v>24</v>
      </c>
      <c r="P373" s="5">
        <v>6874</v>
      </c>
      <c r="Q373" s="5" t="s">
        <v>46</v>
      </c>
      <c r="R373" s="2">
        <v>440962.07</v>
      </c>
      <c r="S373" s="2">
        <v>74712.070000000007</v>
      </c>
      <c r="T373" s="1">
        <v>45798</v>
      </c>
      <c r="U373" s="5">
        <v>5</v>
      </c>
    </row>
    <row r="374" spans="1:21" x14ac:dyDescent="0.3">
      <c r="A374" s="5" t="s">
        <v>435</v>
      </c>
      <c r="B374" s="1">
        <v>45892</v>
      </c>
      <c r="C374" s="5" t="s">
        <v>18</v>
      </c>
      <c r="D374" s="5" t="s">
        <v>62</v>
      </c>
      <c r="E374" s="5" t="s">
        <v>20</v>
      </c>
      <c r="F374" s="5" t="s">
        <v>45</v>
      </c>
      <c r="G374" s="5" t="s">
        <v>38</v>
      </c>
      <c r="H374" s="5" t="s">
        <v>23</v>
      </c>
      <c r="I374" s="5">
        <v>473</v>
      </c>
      <c r="J374" s="5">
        <v>3536</v>
      </c>
      <c r="K374" s="5">
        <v>5073.22</v>
      </c>
      <c r="L374" s="5">
        <v>228</v>
      </c>
      <c r="M374" s="5">
        <v>240</v>
      </c>
      <c r="N374" s="5">
        <v>8</v>
      </c>
      <c r="O374" s="5" t="s">
        <v>24</v>
      </c>
      <c r="P374" s="5">
        <v>2882</v>
      </c>
      <c r="Q374" s="5" t="s">
        <v>40</v>
      </c>
      <c r="R374" s="2">
        <v>2399633.06</v>
      </c>
      <c r="S374" s="2">
        <v>727105.06</v>
      </c>
      <c r="T374" s="1">
        <v>45892</v>
      </c>
      <c r="U374" s="5">
        <v>8</v>
      </c>
    </row>
    <row r="375" spans="1:21" x14ac:dyDescent="0.3">
      <c r="A375" s="5" t="s">
        <v>436</v>
      </c>
      <c r="B375" s="1">
        <v>45770</v>
      </c>
      <c r="C375" s="5" t="s">
        <v>35</v>
      </c>
      <c r="D375" s="5" t="s">
        <v>62</v>
      </c>
      <c r="E375" s="5" t="s">
        <v>29</v>
      </c>
      <c r="F375" s="5" t="s">
        <v>30</v>
      </c>
      <c r="G375" s="5" t="s">
        <v>56</v>
      </c>
      <c r="H375" s="5" t="s">
        <v>23</v>
      </c>
      <c r="I375" s="5">
        <v>283</v>
      </c>
      <c r="J375" s="5">
        <v>1104</v>
      </c>
      <c r="K375" s="5">
        <v>1644.09</v>
      </c>
      <c r="L375" s="5">
        <v>1331</v>
      </c>
      <c r="M375" s="5">
        <v>202</v>
      </c>
      <c r="N375" s="5">
        <v>5</v>
      </c>
      <c r="O375" s="5" t="s">
        <v>32</v>
      </c>
      <c r="P375" s="5">
        <v>6828</v>
      </c>
      <c r="Q375" s="5" t="s">
        <v>33</v>
      </c>
      <c r="R375" s="2">
        <v>465277.47</v>
      </c>
      <c r="S375" s="2">
        <v>152845.47</v>
      </c>
      <c r="T375" s="1">
        <v>45770</v>
      </c>
      <c r="U375" s="5">
        <v>4</v>
      </c>
    </row>
    <row r="376" spans="1:21" x14ac:dyDescent="0.3">
      <c r="A376" s="5" t="s">
        <v>437</v>
      </c>
      <c r="B376" s="1">
        <v>45984</v>
      </c>
      <c r="C376" s="5" t="s">
        <v>27</v>
      </c>
      <c r="D376" s="5" t="s">
        <v>62</v>
      </c>
      <c r="E376" s="5" t="s">
        <v>49</v>
      </c>
      <c r="F376" s="5" t="s">
        <v>50</v>
      </c>
      <c r="G376" s="5" t="s">
        <v>31</v>
      </c>
      <c r="H376" s="5" t="s">
        <v>39</v>
      </c>
      <c r="I376" s="5">
        <v>269</v>
      </c>
      <c r="J376" s="5">
        <v>1306</v>
      </c>
      <c r="K376" s="5">
        <v>1820.51</v>
      </c>
      <c r="L376" s="5">
        <v>198</v>
      </c>
      <c r="M376" s="5">
        <v>183</v>
      </c>
      <c r="N376" s="5">
        <v>4</v>
      </c>
      <c r="O376" s="5" t="s">
        <v>32</v>
      </c>
      <c r="P376" s="5">
        <v>4872</v>
      </c>
      <c r="Q376" s="5" t="s">
        <v>33</v>
      </c>
      <c r="R376" s="2">
        <v>489717.19</v>
      </c>
      <c r="S376" s="2">
        <v>138403.19</v>
      </c>
      <c r="T376" s="1">
        <v>45984</v>
      </c>
      <c r="U376" s="5">
        <v>11</v>
      </c>
    </row>
    <row r="377" spans="1:21" x14ac:dyDescent="0.3">
      <c r="A377" s="5" t="s">
        <v>438</v>
      </c>
      <c r="B377" s="1">
        <v>45799</v>
      </c>
      <c r="C377" s="5" t="s">
        <v>27</v>
      </c>
      <c r="D377" s="5" t="s">
        <v>36</v>
      </c>
      <c r="E377" s="5" t="s">
        <v>29</v>
      </c>
      <c r="F377" s="5" t="s">
        <v>58</v>
      </c>
      <c r="G377" s="5" t="s">
        <v>22</v>
      </c>
      <c r="H377" s="5" t="s">
        <v>23</v>
      </c>
      <c r="I377" s="5">
        <v>77</v>
      </c>
      <c r="J377" s="5">
        <v>2987</v>
      </c>
      <c r="K377" s="5">
        <v>4027.61</v>
      </c>
      <c r="L377" s="5">
        <v>734</v>
      </c>
      <c r="M377" s="5">
        <v>92</v>
      </c>
      <c r="N377" s="5">
        <v>2</v>
      </c>
      <c r="O377" s="5" t="s">
        <v>32</v>
      </c>
      <c r="P377" s="5">
        <v>4993</v>
      </c>
      <c r="Q377" s="5" t="s">
        <v>33</v>
      </c>
      <c r="R377" s="2">
        <v>310125.96999999997</v>
      </c>
      <c r="S377" s="2">
        <v>80126.97</v>
      </c>
      <c r="T377" s="1">
        <v>45799</v>
      </c>
      <c r="U377" s="5">
        <v>5</v>
      </c>
    </row>
    <row r="378" spans="1:21" x14ac:dyDescent="0.3">
      <c r="A378" s="5" t="s">
        <v>439</v>
      </c>
      <c r="B378" s="1">
        <v>45695</v>
      </c>
      <c r="C378" s="5" t="s">
        <v>42</v>
      </c>
      <c r="D378" s="5" t="s">
        <v>28</v>
      </c>
      <c r="E378" s="5" t="s">
        <v>54</v>
      </c>
      <c r="F378" s="5" t="s">
        <v>78</v>
      </c>
      <c r="G378" s="5" t="s">
        <v>22</v>
      </c>
      <c r="H378" s="5" t="s">
        <v>39</v>
      </c>
      <c r="I378" s="5">
        <v>77</v>
      </c>
      <c r="J378" s="5">
        <v>4823</v>
      </c>
      <c r="K378" s="5">
        <v>7164.53</v>
      </c>
      <c r="L378" s="5">
        <v>1059</v>
      </c>
      <c r="M378" s="5">
        <v>171</v>
      </c>
      <c r="N378" s="5">
        <v>8</v>
      </c>
      <c r="O378" s="5" t="s">
        <v>24</v>
      </c>
      <c r="P378" s="5">
        <v>1898</v>
      </c>
      <c r="Q378" s="5" t="s">
        <v>25</v>
      </c>
      <c r="R378" s="2">
        <v>551668.81000000006</v>
      </c>
      <c r="S378" s="2">
        <v>180297.81</v>
      </c>
      <c r="T378" s="1">
        <v>45695</v>
      </c>
      <c r="U378" s="5">
        <v>2</v>
      </c>
    </row>
    <row r="379" spans="1:21" x14ac:dyDescent="0.3">
      <c r="A379" s="5" t="s">
        <v>440</v>
      </c>
      <c r="B379" s="1">
        <v>45718</v>
      </c>
      <c r="C379" s="5" t="s">
        <v>18</v>
      </c>
      <c r="D379" s="5" t="s">
        <v>62</v>
      </c>
      <c r="E379" s="5" t="s">
        <v>20</v>
      </c>
      <c r="F379" s="5" t="s">
        <v>37</v>
      </c>
      <c r="G379" s="5" t="s">
        <v>56</v>
      </c>
      <c r="H379" s="5" t="s">
        <v>39</v>
      </c>
      <c r="I379" s="5">
        <v>19</v>
      </c>
      <c r="J379" s="5">
        <v>1989</v>
      </c>
      <c r="K379" s="5">
        <v>2595.9899999999998</v>
      </c>
      <c r="L379" s="5">
        <v>422</v>
      </c>
      <c r="M379" s="5">
        <v>145</v>
      </c>
      <c r="N379" s="5">
        <v>4</v>
      </c>
      <c r="O379" s="5" t="s">
        <v>32</v>
      </c>
      <c r="P379" s="5">
        <v>5901</v>
      </c>
      <c r="Q379" s="5" t="s">
        <v>33</v>
      </c>
      <c r="R379" s="2">
        <v>49323.81</v>
      </c>
      <c r="S379" s="2">
        <v>11532.81</v>
      </c>
      <c r="T379" s="1">
        <v>45718</v>
      </c>
      <c r="U379" s="5">
        <v>3</v>
      </c>
    </row>
    <row r="380" spans="1:21" x14ac:dyDescent="0.3">
      <c r="A380" s="5" t="s">
        <v>441</v>
      </c>
      <c r="B380" s="1">
        <v>45745</v>
      </c>
      <c r="C380" s="5" t="s">
        <v>42</v>
      </c>
      <c r="D380" s="5" t="s">
        <v>53</v>
      </c>
      <c r="E380" s="5" t="s">
        <v>20</v>
      </c>
      <c r="F380" s="5" t="s">
        <v>60</v>
      </c>
      <c r="G380" s="5" t="s">
        <v>22</v>
      </c>
      <c r="H380" s="5" t="s">
        <v>39</v>
      </c>
      <c r="I380" s="5">
        <v>212</v>
      </c>
      <c r="J380" s="5">
        <v>1784</v>
      </c>
      <c r="K380" s="5">
        <v>2608.33</v>
      </c>
      <c r="L380" s="5">
        <v>1126</v>
      </c>
      <c r="M380" s="5">
        <v>104</v>
      </c>
      <c r="N380" s="5">
        <v>2</v>
      </c>
      <c r="O380" s="5" t="s">
        <v>32</v>
      </c>
      <c r="P380" s="5">
        <v>1532</v>
      </c>
      <c r="Q380" s="5" t="s">
        <v>33</v>
      </c>
      <c r="R380" s="2">
        <v>552965.96</v>
      </c>
      <c r="S380" s="2">
        <v>174757.96</v>
      </c>
      <c r="T380" s="1">
        <v>45745</v>
      </c>
      <c r="U380" s="5">
        <v>3</v>
      </c>
    </row>
    <row r="381" spans="1:21" x14ac:dyDescent="0.3">
      <c r="A381" s="5" t="s">
        <v>442</v>
      </c>
      <c r="B381" s="1">
        <v>46018</v>
      </c>
      <c r="C381" s="5" t="s">
        <v>27</v>
      </c>
      <c r="D381" s="5" t="s">
        <v>19</v>
      </c>
      <c r="E381" s="5" t="s">
        <v>49</v>
      </c>
      <c r="F381" s="5" t="s">
        <v>75</v>
      </c>
      <c r="G381" s="5" t="s">
        <v>31</v>
      </c>
      <c r="H381" s="5" t="s">
        <v>39</v>
      </c>
      <c r="I381" s="5">
        <v>435</v>
      </c>
      <c r="J381" s="5">
        <v>3268</v>
      </c>
      <c r="K381" s="5">
        <v>4308.46</v>
      </c>
      <c r="L381" s="5">
        <v>1719</v>
      </c>
      <c r="M381" s="5">
        <v>130</v>
      </c>
      <c r="N381" s="5">
        <v>6</v>
      </c>
      <c r="O381" s="5" t="s">
        <v>24</v>
      </c>
      <c r="P381" s="5">
        <v>6227</v>
      </c>
      <c r="Q381" s="5" t="s">
        <v>25</v>
      </c>
      <c r="R381" s="2">
        <v>1874180.1</v>
      </c>
      <c r="S381" s="2">
        <v>452600.1</v>
      </c>
      <c r="T381" s="1">
        <v>46018</v>
      </c>
      <c r="U381" s="5">
        <v>12</v>
      </c>
    </row>
    <row r="382" spans="1:21" x14ac:dyDescent="0.3">
      <c r="A382" s="5" t="s">
        <v>443</v>
      </c>
      <c r="B382" s="1">
        <v>45795</v>
      </c>
      <c r="C382" s="5" t="s">
        <v>18</v>
      </c>
      <c r="D382" s="5" t="s">
        <v>53</v>
      </c>
      <c r="E382" s="5" t="s">
        <v>29</v>
      </c>
      <c r="F382" s="5" t="s">
        <v>58</v>
      </c>
      <c r="G382" s="5" t="s">
        <v>56</v>
      </c>
      <c r="H382" s="5" t="s">
        <v>23</v>
      </c>
      <c r="I382" s="5">
        <v>166</v>
      </c>
      <c r="J382" s="5">
        <v>4102</v>
      </c>
      <c r="K382" s="5">
        <v>4852.26</v>
      </c>
      <c r="L382" s="5">
        <v>1881</v>
      </c>
      <c r="M382" s="5">
        <v>168</v>
      </c>
      <c r="N382" s="5">
        <v>4</v>
      </c>
      <c r="O382" s="5" t="s">
        <v>32</v>
      </c>
      <c r="P382" s="5">
        <v>6512</v>
      </c>
      <c r="Q382" s="5" t="s">
        <v>25</v>
      </c>
      <c r="R382" s="2">
        <v>805475.16</v>
      </c>
      <c r="S382" s="2">
        <v>124543.16</v>
      </c>
      <c r="T382" s="1">
        <v>45795</v>
      </c>
      <c r="U382" s="5">
        <v>5</v>
      </c>
    </row>
    <row r="383" spans="1:21" x14ac:dyDescent="0.3">
      <c r="A383" s="5" t="s">
        <v>444</v>
      </c>
      <c r="B383" s="1">
        <v>45744</v>
      </c>
      <c r="C383" s="5" t="s">
        <v>35</v>
      </c>
      <c r="D383" s="5" t="s">
        <v>19</v>
      </c>
      <c r="E383" s="5" t="s">
        <v>49</v>
      </c>
      <c r="F383" s="5" t="s">
        <v>89</v>
      </c>
      <c r="G383" s="5" t="s">
        <v>38</v>
      </c>
      <c r="H383" s="5" t="s">
        <v>23</v>
      </c>
      <c r="I383" s="5">
        <v>267</v>
      </c>
      <c r="J383" s="5">
        <v>3011</v>
      </c>
      <c r="K383" s="5">
        <v>4393.22</v>
      </c>
      <c r="L383" s="5">
        <v>1817</v>
      </c>
      <c r="M383" s="5">
        <v>256</v>
      </c>
      <c r="N383" s="5">
        <v>6</v>
      </c>
      <c r="O383" s="5" t="s">
        <v>24</v>
      </c>
      <c r="P383" s="5">
        <v>747</v>
      </c>
      <c r="Q383" s="5" t="s">
        <v>25</v>
      </c>
      <c r="R383" s="2">
        <v>1172989.74</v>
      </c>
      <c r="S383" s="2">
        <v>369052.74</v>
      </c>
      <c r="T383" s="1">
        <v>45744</v>
      </c>
      <c r="U383" s="5">
        <v>3</v>
      </c>
    </row>
    <row r="384" spans="1:21" x14ac:dyDescent="0.3">
      <c r="A384" s="5" t="s">
        <v>445</v>
      </c>
      <c r="B384" s="1">
        <v>45751</v>
      </c>
      <c r="C384" s="5" t="s">
        <v>18</v>
      </c>
      <c r="D384" s="5" t="s">
        <v>19</v>
      </c>
      <c r="E384" s="5" t="s">
        <v>20</v>
      </c>
      <c r="F384" s="5" t="s">
        <v>60</v>
      </c>
      <c r="G384" s="5" t="s">
        <v>56</v>
      </c>
      <c r="H384" s="5" t="s">
        <v>51</v>
      </c>
      <c r="I384" s="5">
        <v>450</v>
      </c>
      <c r="J384" s="5">
        <v>3362</v>
      </c>
      <c r="K384" s="5">
        <v>4279.7700000000004</v>
      </c>
      <c r="L384" s="5">
        <v>1086</v>
      </c>
      <c r="M384" s="5">
        <v>249</v>
      </c>
      <c r="N384" s="5">
        <v>6</v>
      </c>
      <c r="O384" s="5" t="s">
        <v>24</v>
      </c>
      <c r="P384" s="5">
        <v>1883</v>
      </c>
      <c r="Q384" s="5" t="s">
        <v>33</v>
      </c>
      <c r="R384" s="2">
        <v>1925896.5</v>
      </c>
      <c r="S384" s="2">
        <v>412996.5</v>
      </c>
      <c r="T384" s="1">
        <v>45751</v>
      </c>
      <c r="U384" s="5">
        <v>4</v>
      </c>
    </row>
    <row r="385" spans="1:21" x14ac:dyDescent="0.3">
      <c r="A385" s="5" t="s">
        <v>446</v>
      </c>
      <c r="B385" s="1">
        <v>45766</v>
      </c>
      <c r="C385" s="5" t="s">
        <v>42</v>
      </c>
      <c r="D385" s="5" t="s">
        <v>19</v>
      </c>
      <c r="E385" s="5" t="s">
        <v>54</v>
      </c>
      <c r="F385" s="5" t="s">
        <v>55</v>
      </c>
      <c r="G385" s="5" t="s">
        <v>38</v>
      </c>
      <c r="H385" s="5" t="s">
        <v>39</v>
      </c>
      <c r="I385" s="5">
        <v>45</v>
      </c>
      <c r="J385" s="5">
        <v>935</v>
      </c>
      <c r="K385" s="5">
        <v>1288.77</v>
      </c>
      <c r="L385" s="5">
        <v>1584</v>
      </c>
      <c r="M385" s="5">
        <v>151</v>
      </c>
      <c r="N385" s="5">
        <v>2</v>
      </c>
      <c r="O385" s="5" t="s">
        <v>32</v>
      </c>
      <c r="P385" s="5">
        <v>5462</v>
      </c>
      <c r="Q385" s="5" t="s">
        <v>33</v>
      </c>
      <c r="R385" s="2">
        <v>57994.65</v>
      </c>
      <c r="S385" s="2">
        <v>15919.65</v>
      </c>
      <c r="T385" s="1">
        <v>45766</v>
      </c>
      <c r="U385" s="5">
        <v>4</v>
      </c>
    </row>
    <row r="386" spans="1:21" x14ac:dyDescent="0.3">
      <c r="A386" s="5" t="s">
        <v>447</v>
      </c>
      <c r="B386" s="1">
        <v>45842</v>
      </c>
      <c r="C386" s="5" t="s">
        <v>18</v>
      </c>
      <c r="D386" s="5" t="s">
        <v>36</v>
      </c>
      <c r="E386" s="5" t="s">
        <v>29</v>
      </c>
      <c r="F386" s="5" t="s">
        <v>58</v>
      </c>
      <c r="G386" s="5" t="s">
        <v>22</v>
      </c>
      <c r="H386" s="5" t="s">
        <v>51</v>
      </c>
      <c r="I386" s="5">
        <v>381</v>
      </c>
      <c r="J386" s="5">
        <v>3657</v>
      </c>
      <c r="K386" s="5">
        <v>4937.04</v>
      </c>
      <c r="L386" s="5">
        <v>1556</v>
      </c>
      <c r="M386" s="5">
        <v>276</v>
      </c>
      <c r="N386" s="5">
        <v>3</v>
      </c>
      <c r="O386" s="5" t="s">
        <v>32</v>
      </c>
      <c r="P386" s="5">
        <v>3847</v>
      </c>
      <c r="Q386" s="5" t="s">
        <v>33</v>
      </c>
      <c r="R386" s="2">
        <v>1881012.24</v>
      </c>
      <c r="S386" s="2">
        <v>487695.24</v>
      </c>
      <c r="T386" s="1">
        <v>45842</v>
      </c>
      <c r="U386" s="5">
        <v>7</v>
      </c>
    </row>
    <row r="387" spans="1:21" x14ac:dyDescent="0.3">
      <c r="A387" s="5" t="s">
        <v>448</v>
      </c>
      <c r="B387" s="1">
        <v>45915</v>
      </c>
      <c r="C387" s="5" t="s">
        <v>42</v>
      </c>
      <c r="D387" s="5" t="s">
        <v>19</v>
      </c>
      <c r="E387" s="5" t="s">
        <v>49</v>
      </c>
      <c r="F387" s="5" t="s">
        <v>75</v>
      </c>
      <c r="G387" s="5" t="s">
        <v>22</v>
      </c>
      <c r="H387" s="5" t="s">
        <v>23</v>
      </c>
      <c r="I387" s="5">
        <v>66</v>
      </c>
      <c r="J387" s="5">
        <v>3609</v>
      </c>
      <c r="K387" s="5">
        <v>4638.13</v>
      </c>
      <c r="L387" s="5">
        <v>1762</v>
      </c>
      <c r="M387" s="5">
        <v>258</v>
      </c>
      <c r="N387" s="5">
        <v>6</v>
      </c>
      <c r="O387" s="5" t="s">
        <v>24</v>
      </c>
      <c r="P387" s="5">
        <v>3467</v>
      </c>
      <c r="Q387" s="5" t="s">
        <v>40</v>
      </c>
      <c r="R387" s="2">
        <v>306116.58</v>
      </c>
      <c r="S387" s="2">
        <v>67922.58</v>
      </c>
      <c r="T387" s="1">
        <v>45915</v>
      </c>
      <c r="U387" s="5">
        <v>9</v>
      </c>
    </row>
    <row r="388" spans="1:21" x14ac:dyDescent="0.3">
      <c r="A388" s="5" t="s">
        <v>449</v>
      </c>
      <c r="B388" s="1">
        <v>46013</v>
      </c>
      <c r="C388" s="5" t="s">
        <v>35</v>
      </c>
      <c r="D388" s="5" t="s">
        <v>62</v>
      </c>
      <c r="E388" s="5" t="s">
        <v>20</v>
      </c>
      <c r="F388" s="5" t="s">
        <v>60</v>
      </c>
      <c r="G388" s="5" t="s">
        <v>56</v>
      </c>
      <c r="H388" s="5" t="s">
        <v>23</v>
      </c>
      <c r="I388" s="5">
        <v>236</v>
      </c>
      <c r="J388" s="5">
        <v>3769</v>
      </c>
      <c r="K388" s="5">
        <v>5097.25</v>
      </c>
      <c r="L388" s="5">
        <v>917</v>
      </c>
      <c r="M388" s="5">
        <v>81</v>
      </c>
      <c r="N388" s="5">
        <v>3</v>
      </c>
      <c r="O388" s="5" t="s">
        <v>32</v>
      </c>
      <c r="P388" s="5">
        <v>3654</v>
      </c>
      <c r="Q388" s="5" t="s">
        <v>33</v>
      </c>
      <c r="R388" s="2">
        <v>1202951</v>
      </c>
      <c r="S388" s="2">
        <v>313467</v>
      </c>
      <c r="T388" s="1">
        <v>46013</v>
      </c>
      <c r="U388" s="5">
        <v>12</v>
      </c>
    </row>
    <row r="389" spans="1:21" x14ac:dyDescent="0.3">
      <c r="A389" s="5" t="s">
        <v>450</v>
      </c>
      <c r="B389" s="1">
        <v>45789</v>
      </c>
      <c r="C389" s="5" t="s">
        <v>18</v>
      </c>
      <c r="D389" s="5" t="s">
        <v>28</v>
      </c>
      <c r="E389" s="5" t="s">
        <v>49</v>
      </c>
      <c r="F389" s="5" t="s">
        <v>89</v>
      </c>
      <c r="G389" s="5" t="s">
        <v>38</v>
      </c>
      <c r="H389" s="5" t="s">
        <v>39</v>
      </c>
      <c r="I389" s="5">
        <v>469</v>
      </c>
      <c r="J389" s="5">
        <v>1633</v>
      </c>
      <c r="K389" s="5">
        <v>2284.91</v>
      </c>
      <c r="L389" s="5">
        <v>400</v>
      </c>
      <c r="M389" s="5">
        <v>157</v>
      </c>
      <c r="N389" s="5">
        <v>3</v>
      </c>
      <c r="O389" s="5" t="s">
        <v>32</v>
      </c>
      <c r="P389" s="5">
        <v>846</v>
      </c>
      <c r="Q389" s="5" t="s">
        <v>33</v>
      </c>
      <c r="R389" s="2">
        <v>1071622.79</v>
      </c>
      <c r="S389" s="2">
        <v>305745.78999999998</v>
      </c>
      <c r="T389" s="1">
        <v>45789</v>
      </c>
      <c r="U389" s="5">
        <v>5</v>
      </c>
    </row>
    <row r="390" spans="1:21" x14ac:dyDescent="0.3">
      <c r="A390" s="5" t="s">
        <v>451</v>
      </c>
      <c r="B390" s="1">
        <v>45842</v>
      </c>
      <c r="C390" s="5" t="s">
        <v>42</v>
      </c>
      <c r="D390" s="5" t="s">
        <v>53</v>
      </c>
      <c r="E390" s="5" t="s">
        <v>49</v>
      </c>
      <c r="F390" s="5" t="s">
        <v>50</v>
      </c>
      <c r="G390" s="5" t="s">
        <v>31</v>
      </c>
      <c r="H390" s="5" t="s">
        <v>23</v>
      </c>
      <c r="I390" s="5">
        <v>365</v>
      </c>
      <c r="J390" s="5">
        <v>1932</v>
      </c>
      <c r="K390" s="5">
        <v>2616.1799999999998</v>
      </c>
      <c r="L390" s="5">
        <v>72</v>
      </c>
      <c r="M390" s="5">
        <v>233</v>
      </c>
      <c r="N390" s="5">
        <v>3</v>
      </c>
      <c r="O390" s="5" t="s">
        <v>32</v>
      </c>
      <c r="P390" s="5">
        <v>1523</v>
      </c>
      <c r="Q390" s="5" t="s">
        <v>33</v>
      </c>
      <c r="R390" s="2">
        <v>954905.7</v>
      </c>
      <c r="S390" s="2">
        <v>249725.7</v>
      </c>
      <c r="T390" s="1">
        <v>45842</v>
      </c>
      <c r="U390" s="5">
        <v>7</v>
      </c>
    </row>
    <row r="391" spans="1:21" x14ac:dyDescent="0.3">
      <c r="A391" s="5" t="s">
        <v>452</v>
      </c>
      <c r="B391" s="1">
        <v>45961</v>
      </c>
      <c r="C391" s="5" t="s">
        <v>42</v>
      </c>
      <c r="D391" s="5" t="s">
        <v>62</v>
      </c>
      <c r="E391" s="5" t="s">
        <v>29</v>
      </c>
      <c r="F391" s="5" t="s">
        <v>43</v>
      </c>
      <c r="G391" s="5" t="s">
        <v>22</v>
      </c>
      <c r="H391" s="5" t="s">
        <v>51</v>
      </c>
      <c r="I391" s="5">
        <v>156</v>
      </c>
      <c r="J391" s="5">
        <v>2111</v>
      </c>
      <c r="K391" s="5">
        <v>2952.02</v>
      </c>
      <c r="L391" s="5">
        <v>851</v>
      </c>
      <c r="M391" s="5">
        <v>270</v>
      </c>
      <c r="N391" s="5">
        <v>2</v>
      </c>
      <c r="O391" s="5" t="s">
        <v>32</v>
      </c>
      <c r="P391" s="5">
        <v>2931</v>
      </c>
      <c r="Q391" s="5" t="s">
        <v>33</v>
      </c>
      <c r="R391" s="2">
        <v>460515.12</v>
      </c>
      <c r="S391" s="2">
        <v>131199.12</v>
      </c>
      <c r="T391" s="1">
        <v>45961</v>
      </c>
      <c r="U391" s="5">
        <v>10</v>
      </c>
    </row>
    <row r="392" spans="1:21" x14ac:dyDescent="0.3">
      <c r="A392" s="5" t="s">
        <v>453</v>
      </c>
      <c r="B392" s="1">
        <v>45733</v>
      </c>
      <c r="C392" s="5" t="s">
        <v>27</v>
      </c>
      <c r="D392" s="5" t="s">
        <v>28</v>
      </c>
      <c r="E392" s="5" t="s">
        <v>54</v>
      </c>
      <c r="F392" s="5" t="s">
        <v>81</v>
      </c>
      <c r="G392" s="5" t="s">
        <v>31</v>
      </c>
      <c r="H392" s="5" t="s">
        <v>23</v>
      </c>
      <c r="I392" s="5">
        <v>500</v>
      </c>
      <c r="J392" s="5">
        <v>2597</v>
      </c>
      <c r="K392" s="5">
        <v>3583.82</v>
      </c>
      <c r="L392" s="5">
        <v>1757</v>
      </c>
      <c r="M392" s="5">
        <v>201</v>
      </c>
      <c r="N392" s="5">
        <v>8</v>
      </c>
      <c r="O392" s="5" t="s">
        <v>24</v>
      </c>
      <c r="P392" s="5">
        <v>5621</v>
      </c>
      <c r="Q392" s="5" t="s">
        <v>33</v>
      </c>
      <c r="R392" s="2">
        <v>1791910</v>
      </c>
      <c r="S392" s="2">
        <v>493410</v>
      </c>
      <c r="T392" s="1">
        <v>45733</v>
      </c>
      <c r="U392" s="5">
        <v>3</v>
      </c>
    </row>
    <row r="393" spans="1:21" x14ac:dyDescent="0.3">
      <c r="A393" s="5" t="s">
        <v>454</v>
      </c>
      <c r="B393" s="1">
        <v>45891</v>
      </c>
      <c r="C393" s="5" t="s">
        <v>27</v>
      </c>
      <c r="D393" s="5" t="s">
        <v>62</v>
      </c>
      <c r="E393" s="5" t="s">
        <v>49</v>
      </c>
      <c r="F393" s="5" t="s">
        <v>94</v>
      </c>
      <c r="G393" s="5" t="s">
        <v>38</v>
      </c>
      <c r="H393" s="5" t="s">
        <v>23</v>
      </c>
      <c r="I393" s="5">
        <v>308</v>
      </c>
      <c r="J393" s="5">
        <v>4491</v>
      </c>
      <c r="K393" s="5">
        <v>5883.69</v>
      </c>
      <c r="L393" s="5">
        <v>1876</v>
      </c>
      <c r="M393" s="5">
        <v>248</v>
      </c>
      <c r="N393" s="5">
        <v>10</v>
      </c>
      <c r="O393" s="5" t="s">
        <v>24</v>
      </c>
      <c r="P393" s="5">
        <v>6605</v>
      </c>
      <c r="Q393" s="5" t="s">
        <v>25</v>
      </c>
      <c r="R393" s="2">
        <v>1812176.52</v>
      </c>
      <c r="S393" s="2">
        <v>428948.52</v>
      </c>
      <c r="T393" s="1">
        <v>45891</v>
      </c>
      <c r="U393" s="5">
        <v>8</v>
      </c>
    </row>
    <row r="394" spans="1:21" x14ac:dyDescent="0.3">
      <c r="A394" s="5" t="s">
        <v>455</v>
      </c>
      <c r="B394" s="1">
        <v>45855</v>
      </c>
      <c r="C394" s="5" t="s">
        <v>42</v>
      </c>
      <c r="D394" s="5" t="s">
        <v>53</v>
      </c>
      <c r="E394" s="5" t="s">
        <v>54</v>
      </c>
      <c r="F394" s="5" t="s">
        <v>87</v>
      </c>
      <c r="G394" s="5" t="s">
        <v>31</v>
      </c>
      <c r="H394" s="5" t="s">
        <v>39</v>
      </c>
      <c r="I394" s="5">
        <v>16</v>
      </c>
      <c r="J394" s="5">
        <v>4030</v>
      </c>
      <c r="K394" s="5">
        <v>5381.88</v>
      </c>
      <c r="L394" s="5">
        <v>511</v>
      </c>
      <c r="M394" s="5">
        <v>201</v>
      </c>
      <c r="N394" s="5">
        <v>10</v>
      </c>
      <c r="O394" s="5" t="s">
        <v>24</v>
      </c>
      <c r="P394" s="5">
        <v>3872</v>
      </c>
      <c r="Q394" s="5" t="s">
        <v>46</v>
      </c>
      <c r="R394" s="2">
        <v>86110.080000000002</v>
      </c>
      <c r="S394" s="2">
        <v>21630.080000000002</v>
      </c>
      <c r="T394" s="1">
        <v>45855</v>
      </c>
      <c r="U394" s="5">
        <v>7</v>
      </c>
    </row>
    <row r="395" spans="1:21" x14ac:dyDescent="0.3">
      <c r="A395" s="5" t="s">
        <v>456</v>
      </c>
      <c r="B395" s="1">
        <v>45881</v>
      </c>
      <c r="C395" s="5" t="s">
        <v>27</v>
      </c>
      <c r="D395" s="5" t="s">
        <v>62</v>
      </c>
      <c r="E395" s="5" t="s">
        <v>49</v>
      </c>
      <c r="F395" s="5" t="s">
        <v>50</v>
      </c>
      <c r="G395" s="5" t="s">
        <v>31</v>
      </c>
      <c r="H395" s="5" t="s">
        <v>39</v>
      </c>
      <c r="I395" s="5">
        <v>10</v>
      </c>
      <c r="J395" s="5">
        <v>2567</v>
      </c>
      <c r="K395" s="5">
        <v>3243.39</v>
      </c>
      <c r="L395" s="5">
        <v>1019</v>
      </c>
      <c r="M395" s="5">
        <v>133</v>
      </c>
      <c r="N395" s="5">
        <v>5</v>
      </c>
      <c r="O395" s="5" t="s">
        <v>32</v>
      </c>
      <c r="P395" s="5">
        <v>1591</v>
      </c>
      <c r="Q395" s="5" t="s">
        <v>33</v>
      </c>
      <c r="R395" s="2">
        <v>32433.9</v>
      </c>
      <c r="S395" s="2">
        <v>6763.9</v>
      </c>
      <c r="T395" s="1">
        <v>45881</v>
      </c>
      <c r="U395" s="5">
        <v>8</v>
      </c>
    </row>
    <row r="396" spans="1:21" x14ac:dyDescent="0.3">
      <c r="A396" s="5" t="s">
        <v>457</v>
      </c>
      <c r="B396" s="1">
        <v>45954</v>
      </c>
      <c r="C396" s="5" t="s">
        <v>27</v>
      </c>
      <c r="D396" s="5" t="s">
        <v>28</v>
      </c>
      <c r="E396" s="5" t="s">
        <v>20</v>
      </c>
      <c r="F396" s="5" t="s">
        <v>21</v>
      </c>
      <c r="G396" s="5" t="s">
        <v>31</v>
      </c>
      <c r="H396" s="5" t="s">
        <v>51</v>
      </c>
      <c r="I396" s="5">
        <v>201</v>
      </c>
      <c r="J396" s="5">
        <v>3940</v>
      </c>
      <c r="K396" s="5">
        <v>4762.6000000000004</v>
      </c>
      <c r="L396" s="5">
        <v>360</v>
      </c>
      <c r="M396" s="5">
        <v>110</v>
      </c>
      <c r="N396" s="5">
        <v>4</v>
      </c>
      <c r="O396" s="5" t="s">
        <v>32</v>
      </c>
      <c r="P396" s="5">
        <v>1643</v>
      </c>
      <c r="Q396" s="5" t="s">
        <v>33</v>
      </c>
      <c r="R396" s="2">
        <v>957282.6</v>
      </c>
      <c r="S396" s="2">
        <v>165342.6</v>
      </c>
      <c r="T396" s="1">
        <v>45954</v>
      </c>
      <c r="U396" s="5">
        <v>10</v>
      </c>
    </row>
    <row r="397" spans="1:21" x14ac:dyDescent="0.3">
      <c r="A397" s="5" t="s">
        <v>458</v>
      </c>
      <c r="B397" s="1">
        <v>45934</v>
      </c>
      <c r="C397" s="5" t="s">
        <v>27</v>
      </c>
      <c r="D397" s="5" t="s">
        <v>19</v>
      </c>
      <c r="E397" s="5" t="s">
        <v>49</v>
      </c>
      <c r="F397" s="5" t="s">
        <v>65</v>
      </c>
      <c r="G397" s="5" t="s">
        <v>56</v>
      </c>
      <c r="H397" s="5" t="s">
        <v>23</v>
      </c>
      <c r="I397" s="5">
        <v>278</v>
      </c>
      <c r="J397" s="5">
        <v>717</v>
      </c>
      <c r="K397" s="5">
        <v>967.28</v>
      </c>
      <c r="L397" s="5">
        <v>1885</v>
      </c>
      <c r="M397" s="5">
        <v>214</v>
      </c>
      <c r="N397" s="5">
        <v>10</v>
      </c>
      <c r="O397" s="5" t="s">
        <v>24</v>
      </c>
      <c r="P397" s="5">
        <v>3890</v>
      </c>
      <c r="Q397" s="5" t="s">
        <v>33</v>
      </c>
      <c r="R397" s="2">
        <v>268903.84000000003</v>
      </c>
      <c r="S397" s="2">
        <v>69577.84</v>
      </c>
      <c r="T397" s="1">
        <v>45934</v>
      </c>
      <c r="U397" s="5">
        <v>10</v>
      </c>
    </row>
    <row r="398" spans="1:21" x14ac:dyDescent="0.3">
      <c r="A398" s="5" t="s">
        <v>459</v>
      </c>
      <c r="B398" s="1">
        <v>46017</v>
      </c>
      <c r="C398" s="5" t="s">
        <v>35</v>
      </c>
      <c r="D398" s="5" t="s">
        <v>62</v>
      </c>
      <c r="E398" s="5" t="s">
        <v>20</v>
      </c>
      <c r="F398" s="5" t="s">
        <v>45</v>
      </c>
      <c r="G398" s="5" t="s">
        <v>31</v>
      </c>
      <c r="H398" s="5" t="s">
        <v>23</v>
      </c>
      <c r="I398" s="5">
        <v>309</v>
      </c>
      <c r="J398" s="5">
        <v>1345</v>
      </c>
      <c r="K398" s="5">
        <v>2007.62</v>
      </c>
      <c r="L398" s="5">
        <v>1318</v>
      </c>
      <c r="M398" s="5">
        <v>139</v>
      </c>
      <c r="N398" s="5">
        <v>3</v>
      </c>
      <c r="O398" s="5" t="s">
        <v>32</v>
      </c>
      <c r="P398" s="5">
        <v>1436</v>
      </c>
      <c r="Q398" s="5" t="s">
        <v>25</v>
      </c>
      <c r="R398" s="2">
        <v>620354.57999999996</v>
      </c>
      <c r="S398" s="2">
        <v>204749.58</v>
      </c>
      <c r="T398" s="1">
        <v>46017</v>
      </c>
      <c r="U398" s="5">
        <v>12</v>
      </c>
    </row>
    <row r="399" spans="1:21" x14ac:dyDescent="0.3">
      <c r="A399" s="5" t="s">
        <v>460</v>
      </c>
      <c r="B399" s="1">
        <v>45696</v>
      </c>
      <c r="C399" s="5" t="s">
        <v>18</v>
      </c>
      <c r="D399" s="5" t="s">
        <v>53</v>
      </c>
      <c r="E399" s="5" t="s">
        <v>49</v>
      </c>
      <c r="F399" s="5" t="s">
        <v>65</v>
      </c>
      <c r="G399" s="5" t="s">
        <v>22</v>
      </c>
      <c r="H399" s="5" t="s">
        <v>23</v>
      </c>
      <c r="I399" s="5">
        <v>197</v>
      </c>
      <c r="J399" s="5">
        <v>4291</v>
      </c>
      <c r="K399" s="5">
        <v>5641.15</v>
      </c>
      <c r="L399" s="5">
        <v>527</v>
      </c>
      <c r="M399" s="5">
        <v>176</v>
      </c>
      <c r="N399" s="5">
        <v>4</v>
      </c>
      <c r="O399" s="5" t="s">
        <v>32</v>
      </c>
      <c r="P399" s="5">
        <v>6877</v>
      </c>
      <c r="Q399" s="5" t="s">
        <v>33</v>
      </c>
      <c r="R399" s="2">
        <v>1111306.55</v>
      </c>
      <c r="S399" s="2">
        <v>265979.55</v>
      </c>
      <c r="T399" s="1">
        <v>45696</v>
      </c>
      <c r="U399" s="5">
        <v>2</v>
      </c>
    </row>
    <row r="400" spans="1:21" x14ac:dyDescent="0.3">
      <c r="A400" s="5" t="s">
        <v>461</v>
      </c>
      <c r="B400" s="1">
        <v>45793</v>
      </c>
      <c r="C400" s="5" t="s">
        <v>42</v>
      </c>
      <c r="D400" s="5" t="s">
        <v>36</v>
      </c>
      <c r="E400" s="5" t="s">
        <v>54</v>
      </c>
      <c r="F400" s="5" t="s">
        <v>78</v>
      </c>
      <c r="G400" s="5" t="s">
        <v>31</v>
      </c>
      <c r="H400" s="5" t="s">
        <v>39</v>
      </c>
      <c r="I400" s="5">
        <v>328</v>
      </c>
      <c r="J400" s="5">
        <v>3744</v>
      </c>
      <c r="K400" s="5">
        <v>4690.8999999999996</v>
      </c>
      <c r="L400" s="5">
        <v>1733</v>
      </c>
      <c r="M400" s="5">
        <v>136</v>
      </c>
      <c r="N400" s="5">
        <v>4</v>
      </c>
      <c r="O400" s="5" t="s">
        <v>24</v>
      </c>
      <c r="P400" s="5">
        <v>1041</v>
      </c>
      <c r="Q400" s="5" t="s">
        <v>40</v>
      </c>
      <c r="R400" s="2">
        <v>1538615.2</v>
      </c>
      <c r="S400" s="2">
        <v>310583.2</v>
      </c>
      <c r="T400" s="1">
        <v>45793</v>
      </c>
      <c r="U400" s="5">
        <v>5</v>
      </c>
    </row>
    <row r="401" spans="1:21" x14ac:dyDescent="0.3">
      <c r="A401" s="5" t="s">
        <v>462</v>
      </c>
      <c r="B401" s="1">
        <v>45811</v>
      </c>
      <c r="C401" s="5" t="s">
        <v>18</v>
      </c>
      <c r="D401" s="5" t="s">
        <v>36</v>
      </c>
      <c r="E401" s="5" t="s">
        <v>29</v>
      </c>
      <c r="F401" s="5" t="s">
        <v>30</v>
      </c>
      <c r="G401" s="5" t="s">
        <v>56</v>
      </c>
      <c r="H401" s="5" t="s">
        <v>39</v>
      </c>
      <c r="I401" s="5">
        <v>68</v>
      </c>
      <c r="J401" s="5">
        <v>2377</v>
      </c>
      <c r="K401" s="5">
        <v>3551.02</v>
      </c>
      <c r="L401" s="5">
        <v>1326</v>
      </c>
      <c r="M401" s="5">
        <v>254</v>
      </c>
      <c r="N401" s="5">
        <v>2</v>
      </c>
      <c r="O401" s="5" t="s">
        <v>24</v>
      </c>
      <c r="P401" s="5">
        <v>4635</v>
      </c>
      <c r="Q401" s="5" t="s">
        <v>25</v>
      </c>
      <c r="R401" s="2">
        <v>241469.36</v>
      </c>
      <c r="S401" s="2">
        <v>79833.36</v>
      </c>
      <c r="T401" s="1">
        <v>45811</v>
      </c>
      <c r="U401" s="5">
        <v>6</v>
      </c>
    </row>
    <row r="402" spans="1:21" x14ac:dyDescent="0.3">
      <c r="A402" s="5" t="s">
        <v>463</v>
      </c>
      <c r="B402" s="1">
        <v>45703</v>
      </c>
      <c r="C402" s="5" t="s">
        <v>35</v>
      </c>
      <c r="D402" s="5" t="s">
        <v>19</v>
      </c>
      <c r="E402" s="5" t="s">
        <v>54</v>
      </c>
      <c r="F402" s="5" t="s">
        <v>63</v>
      </c>
      <c r="G402" s="5" t="s">
        <v>56</v>
      </c>
      <c r="H402" s="5" t="s">
        <v>51</v>
      </c>
      <c r="I402" s="5">
        <v>117</v>
      </c>
      <c r="J402" s="5">
        <v>4817</v>
      </c>
      <c r="K402" s="5">
        <v>6951.32</v>
      </c>
      <c r="L402" s="5">
        <v>592</v>
      </c>
      <c r="M402" s="5">
        <v>144</v>
      </c>
      <c r="N402" s="5">
        <v>9</v>
      </c>
      <c r="O402" s="5" t="s">
        <v>24</v>
      </c>
      <c r="P402" s="5">
        <v>5897</v>
      </c>
      <c r="Q402" s="5" t="s">
        <v>33</v>
      </c>
      <c r="R402" s="2">
        <v>813304.44</v>
      </c>
      <c r="S402" s="2">
        <v>249715.44</v>
      </c>
      <c r="T402" s="1">
        <v>45703</v>
      </c>
      <c r="U402" s="5">
        <v>2</v>
      </c>
    </row>
    <row r="403" spans="1:21" x14ac:dyDescent="0.3">
      <c r="A403" s="5" t="s">
        <v>464</v>
      </c>
      <c r="B403" s="1">
        <v>45929</v>
      </c>
      <c r="C403" s="5" t="s">
        <v>35</v>
      </c>
      <c r="D403" s="5" t="s">
        <v>62</v>
      </c>
      <c r="E403" s="5" t="s">
        <v>54</v>
      </c>
      <c r="F403" s="5" t="s">
        <v>55</v>
      </c>
      <c r="G403" s="5" t="s">
        <v>22</v>
      </c>
      <c r="H403" s="5" t="s">
        <v>23</v>
      </c>
      <c r="I403" s="5">
        <v>73</v>
      </c>
      <c r="J403" s="5">
        <v>2459</v>
      </c>
      <c r="K403" s="5">
        <v>3508.08</v>
      </c>
      <c r="L403" s="5">
        <v>1828</v>
      </c>
      <c r="M403" s="5">
        <v>257</v>
      </c>
      <c r="N403" s="5">
        <v>10</v>
      </c>
      <c r="O403" s="5" t="s">
        <v>24</v>
      </c>
      <c r="P403" s="5">
        <v>549</v>
      </c>
      <c r="Q403" s="5" t="s">
        <v>46</v>
      </c>
      <c r="R403" s="2">
        <v>256089.84</v>
      </c>
      <c r="S403" s="2">
        <v>76582.84</v>
      </c>
      <c r="T403" s="1">
        <v>45929</v>
      </c>
      <c r="U403" s="5">
        <v>9</v>
      </c>
    </row>
    <row r="404" spans="1:21" x14ac:dyDescent="0.3">
      <c r="A404" s="5" t="s">
        <v>465</v>
      </c>
      <c r="B404" s="1">
        <v>45778</v>
      </c>
      <c r="C404" s="5" t="s">
        <v>42</v>
      </c>
      <c r="D404" s="5" t="s">
        <v>62</v>
      </c>
      <c r="E404" s="5" t="s">
        <v>29</v>
      </c>
      <c r="F404" s="5" t="s">
        <v>73</v>
      </c>
      <c r="G404" s="5" t="s">
        <v>38</v>
      </c>
      <c r="H404" s="5" t="s">
        <v>39</v>
      </c>
      <c r="I404" s="5">
        <v>438</v>
      </c>
      <c r="J404" s="5">
        <v>322</v>
      </c>
      <c r="K404" s="5">
        <v>459.28</v>
      </c>
      <c r="L404" s="5">
        <v>1542</v>
      </c>
      <c r="M404" s="5">
        <v>150</v>
      </c>
      <c r="N404" s="5">
        <v>10</v>
      </c>
      <c r="O404" s="5" t="s">
        <v>24</v>
      </c>
      <c r="P404" s="5">
        <v>7023</v>
      </c>
      <c r="Q404" s="5" t="s">
        <v>46</v>
      </c>
      <c r="R404" s="2">
        <v>201164.64</v>
      </c>
      <c r="S404" s="2">
        <v>60128.639999999999</v>
      </c>
      <c r="T404" s="1">
        <v>45778</v>
      </c>
      <c r="U404" s="5">
        <v>5</v>
      </c>
    </row>
    <row r="405" spans="1:21" x14ac:dyDescent="0.3">
      <c r="A405" s="5" t="s">
        <v>466</v>
      </c>
      <c r="B405" s="1">
        <v>45658</v>
      </c>
      <c r="C405" s="5" t="s">
        <v>27</v>
      </c>
      <c r="D405" s="5" t="s">
        <v>53</v>
      </c>
      <c r="E405" s="5" t="s">
        <v>49</v>
      </c>
      <c r="F405" s="5" t="s">
        <v>65</v>
      </c>
      <c r="G405" s="5" t="s">
        <v>22</v>
      </c>
      <c r="H405" s="5" t="s">
        <v>51</v>
      </c>
      <c r="I405" s="5">
        <v>180</v>
      </c>
      <c r="J405" s="5">
        <v>392</v>
      </c>
      <c r="K405" s="5">
        <v>498.62</v>
      </c>
      <c r="L405" s="5">
        <v>697</v>
      </c>
      <c r="M405" s="5">
        <v>124</v>
      </c>
      <c r="N405" s="5">
        <v>7</v>
      </c>
      <c r="O405" s="5" t="s">
        <v>24</v>
      </c>
      <c r="P405" s="5">
        <v>5384</v>
      </c>
      <c r="Q405" s="5" t="s">
        <v>25</v>
      </c>
      <c r="R405" s="2">
        <v>89751.6</v>
      </c>
      <c r="S405" s="2">
        <v>19191.599999999999</v>
      </c>
      <c r="T405" s="1">
        <v>45658</v>
      </c>
      <c r="U405" s="5">
        <v>1</v>
      </c>
    </row>
    <row r="406" spans="1:21" x14ac:dyDescent="0.3">
      <c r="A406" s="5" t="s">
        <v>467</v>
      </c>
      <c r="B406" s="1">
        <v>46007</v>
      </c>
      <c r="C406" s="5" t="s">
        <v>42</v>
      </c>
      <c r="D406" s="5" t="s">
        <v>62</v>
      </c>
      <c r="E406" s="5" t="s">
        <v>29</v>
      </c>
      <c r="F406" s="5" t="s">
        <v>58</v>
      </c>
      <c r="G406" s="5" t="s">
        <v>56</v>
      </c>
      <c r="H406" s="5" t="s">
        <v>23</v>
      </c>
      <c r="I406" s="5">
        <v>355</v>
      </c>
      <c r="J406" s="5">
        <v>100</v>
      </c>
      <c r="K406" s="5">
        <v>129.9</v>
      </c>
      <c r="L406" s="5">
        <v>226</v>
      </c>
      <c r="M406" s="5">
        <v>146</v>
      </c>
      <c r="N406" s="5">
        <v>7</v>
      </c>
      <c r="O406" s="5" t="s">
        <v>24</v>
      </c>
      <c r="P406" s="5">
        <v>3191</v>
      </c>
      <c r="Q406" s="5" t="s">
        <v>33</v>
      </c>
      <c r="R406" s="2">
        <v>46114.5</v>
      </c>
      <c r="S406" s="2">
        <v>10614.5</v>
      </c>
      <c r="T406" s="1">
        <v>46007</v>
      </c>
      <c r="U406" s="5">
        <v>12</v>
      </c>
    </row>
    <row r="407" spans="1:21" x14ac:dyDescent="0.3">
      <c r="A407" s="5" t="s">
        <v>468</v>
      </c>
      <c r="B407" s="1">
        <v>45998</v>
      </c>
      <c r="C407" s="5" t="s">
        <v>35</v>
      </c>
      <c r="D407" s="5" t="s">
        <v>53</v>
      </c>
      <c r="E407" s="5" t="s">
        <v>54</v>
      </c>
      <c r="F407" s="5" t="s">
        <v>81</v>
      </c>
      <c r="G407" s="5" t="s">
        <v>31</v>
      </c>
      <c r="H407" s="5" t="s">
        <v>51</v>
      </c>
      <c r="I407" s="5">
        <v>198</v>
      </c>
      <c r="J407" s="5">
        <v>609</v>
      </c>
      <c r="K407" s="5">
        <v>746.77</v>
      </c>
      <c r="L407" s="5">
        <v>1769</v>
      </c>
      <c r="M407" s="5">
        <v>86</v>
      </c>
      <c r="N407" s="5">
        <v>4</v>
      </c>
      <c r="O407" s="5" t="s">
        <v>32</v>
      </c>
      <c r="P407" s="5">
        <v>5993</v>
      </c>
      <c r="Q407" s="5" t="s">
        <v>33</v>
      </c>
      <c r="R407" s="2">
        <v>147860.46</v>
      </c>
      <c r="S407" s="2">
        <v>27278.46</v>
      </c>
      <c r="T407" s="1">
        <v>45998</v>
      </c>
      <c r="U407" s="5">
        <v>12</v>
      </c>
    </row>
    <row r="408" spans="1:21" x14ac:dyDescent="0.3">
      <c r="A408" s="5" t="s">
        <v>469</v>
      </c>
      <c r="B408" s="1">
        <v>45723</v>
      </c>
      <c r="C408" s="5" t="s">
        <v>42</v>
      </c>
      <c r="D408" s="5" t="s">
        <v>53</v>
      </c>
      <c r="E408" s="5" t="s">
        <v>49</v>
      </c>
      <c r="F408" s="5" t="s">
        <v>94</v>
      </c>
      <c r="G408" s="5" t="s">
        <v>38</v>
      </c>
      <c r="H408" s="5" t="s">
        <v>23</v>
      </c>
      <c r="I408" s="5">
        <v>390</v>
      </c>
      <c r="J408" s="5">
        <v>3759</v>
      </c>
      <c r="K408" s="5">
        <v>5109.41</v>
      </c>
      <c r="L408" s="5">
        <v>1779</v>
      </c>
      <c r="M408" s="5">
        <v>275</v>
      </c>
      <c r="N408" s="5">
        <v>6</v>
      </c>
      <c r="O408" s="5" t="s">
        <v>24</v>
      </c>
      <c r="P408" s="5">
        <v>3523</v>
      </c>
      <c r="Q408" s="5" t="s">
        <v>40</v>
      </c>
      <c r="R408" s="2">
        <v>1992669.9</v>
      </c>
      <c r="S408" s="2">
        <v>526659.9</v>
      </c>
      <c r="T408" s="1">
        <v>45723</v>
      </c>
      <c r="U408" s="5">
        <v>3</v>
      </c>
    </row>
    <row r="409" spans="1:21" x14ac:dyDescent="0.3">
      <c r="A409" s="5" t="s">
        <v>470</v>
      </c>
      <c r="B409" s="1">
        <v>45968</v>
      </c>
      <c r="C409" s="5" t="s">
        <v>27</v>
      </c>
      <c r="D409" s="5" t="s">
        <v>19</v>
      </c>
      <c r="E409" s="5" t="s">
        <v>20</v>
      </c>
      <c r="F409" s="5" t="s">
        <v>45</v>
      </c>
      <c r="G409" s="5" t="s">
        <v>22</v>
      </c>
      <c r="H409" s="5" t="s">
        <v>39</v>
      </c>
      <c r="I409" s="5">
        <v>85</v>
      </c>
      <c r="J409" s="5">
        <v>579</v>
      </c>
      <c r="K409" s="5">
        <v>856.76</v>
      </c>
      <c r="L409" s="5">
        <v>164</v>
      </c>
      <c r="M409" s="5">
        <v>182</v>
      </c>
      <c r="N409" s="5">
        <v>6</v>
      </c>
      <c r="O409" s="5" t="s">
        <v>24</v>
      </c>
      <c r="P409" s="5">
        <v>1980</v>
      </c>
      <c r="Q409" s="5" t="s">
        <v>40</v>
      </c>
      <c r="R409" s="2">
        <v>72824.600000000006</v>
      </c>
      <c r="S409" s="2">
        <v>23609.599999999999</v>
      </c>
      <c r="T409" s="1">
        <v>45968</v>
      </c>
      <c r="U409" s="5">
        <v>11</v>
      </c>
    </row>
    <row r="410" spans="1:21" x14ac:dyDescent="0.3">
      <c r="A410" s="5" t="s">
        <v>471</v>
      </c>
      <c r="B410" s="1">
        <v>45945</v>
      </c>
      <c r="C410" s="5" t="s">
        <v>35</v>
      </c>
      <c r="D410" s="5" t="s">
        <v>28</v>
      </c>
      <c r="E410" s="5" t="s">
        <v>20</v>
      </c>
      <c r="F410" s="5" t="s">
        <v>21</v>
      </c>
      <c r="G410" s="5" t="s">
        <v>31</v>
      </c>
      <c r="H410" s="5" t="s">
        <v>39</v>
      </c>
      <c r="I410" s="5">
        <v>357</v>
      </c>
      <c r="J410" s="5">
        <v>2818</v>
      </c>
      <c r="K410" s="5">
        <v>4004.84</v>
      </c>
      <c r="L410" s="5">
        <v>1089</v>
      </c>
      <c r="M410" s="5">
        <v>231</v>
      </c>
      <c r="N410" s="5">
        <v>2</v>
      </c>
      <c r="O410" s="5" t="s">
        <v>32</v>
      </c>
      <c r="P410" s="5">
        <v>2990</v>
      </c>
      <c r="Q410" s="5" t="s">
        <v>33</v>
      </c>
      <c r="R410" s="2">
        <v>1429727.88</v>
      </c>
      <c r="S410" s="2">
        <v>423701.88</v>
      </c>
      <c r="T410" s="1">
        <v>45945</v>
      </c>
      <c r="U410" s="5">
        <v>10</v>
      </c>
    </row>
    <row r="411" spans="1:21" x14ac:dyDescent="0.3">
      <c r="A411" s="5" t="s">
        <v>472</v>
      </c>
      <c r="B411" s="1">
        <v>46017</v>
      </c>
      <c r="C411" s="5" t="s">
        <v>35</v>
      </c>
      <c r="D411" s="5" t="s">
        <v>62</v>
      </c>
      <c r="E411" s="5" t="s">
        <v>29</v>
      </c>
      <c r="F411" s="5" t="s">
        <v>58</v>
      </c>
      <c r="G411" s="5" t="s">
        <v>38</v>
      </c>
      <c r="H411" s="5" t="s">
        <v>23</v>
      </c>
      <c r="I411" s="5">
        <v>23</v>
      </c>
      <c r="J411" s="5">
        <v>1999</v>
      </c>
      <c r="K411" s="5">
        <v>2678.97</v>
      </c>
      <c r="L411" s="5">
        <v>1375</v>
      </c>
      <c r="M411" s="5">
        <v>192</v>
      </c>
      <c r="N411" s="5">
        <v>1</v>
      </c>
      <c r="O411" s="5" t="s">
        <v>32</v>
      </c>
      <c r="P411" s="5">
        <v>2647</v>
      </c>
      <c r="Q411" s="5" t="s">
        <v>33</v>
      </c>
      <c r="R411" s="2">
        <v>61616.31</v>
      </c>
      <c r="S411" s="2">
        <v>15639.31</v>
      </c>
      <c r="T411" s="1">
        <v>46017</v>
      </c>
      <c r="U411" s="5">
        <v>12</v>
      </c>
    </row>
    <row r="412" spans="1:21" x14ac:dyDescent="0.3">
      <c r="A412" s="5" t="s">
        <v>473</v>
      </c>
      <c r="B412" s="1">
        <v>46020</v>
      </c>
      <c r="C412" s="5" t="s">
        <v>27</v>
      </c>
      <c r="D412" s="5" t="s">
        <v>62</v>
      </c>
      <c r="E412" s="5" t="s">
        <v>54</v>
      </c>
      <c r="F412" s="5" t="s">
        <v>63</v>
      </c>
      <c r="G412" s="5" t="s">
        <v>38</v>
      </c>
      <c r="H412" s="5" t="s">
        <v>51</v>
      </c>
      <c r="I412" s="5">
        <v>28</v>
      </c>
      <c r="J412" s="5">
        <v>3848</v>
      </c>
      <c r="K412" s="5">
        <v>4805.8</v>
      </c>
      <c r="L412" s="5">
        <v>1142</v>
      </c>
      <c r="M412" s="5">
        <v>242</v>
      </c>
      <c r="N412" s="5">
        <v>8</v>
      </c>
      <c r="O412" s="5" t="s">
        <v>24</v>
      </c>
      <c r="P412" s="5">
        <v>6144</v>
      </c>
      <c r="Q412" s="5" t="s">
        <v>46</v>
      </c>
      <c r="R412" s="2">
        <v>134562.4</v>
      </c>
      <c r="S412" s="2">
        <v>26818.400000000001</v>
      </c>
      <c r="T412" s="1">
        <v>46020</v>
      </c>
      <c r="U412" s="5">
        <v>12</v>
      </c>
    </row>
    <row r="413" spans="1:21" x14ac:dyDescent="0.3">
      <c r="A413" s="5" t="s">
        <v>474</v>
      </c>
      <c r="B413" s="1">
        <v>45973</v>
      </c>
      <c r="C413" s="5" t="s">
        <v>18</v>
      </c>
      <c r="D413" s="5" t="s">
        <v>19</v>
      </c>
      <c r="E413" s="5" t="s">
        <v>29</v>
      </c>
      <c r="F413" s="5" t="s">
        <v>30</v>
      </c>
      <c r="G413" s="5" t="s">
        <v>38</v>
      </c>
      <c r="H413" s="5" t="s">
        <v>51</v>
      </c>
      <c r="I413" s="5">
        <v>301</v>
      </c>
      <c r="J413" s="5">
        <v>3461</v>
      </c>
      <c r="K413" s="5">
        <v>4808.96</v>
      </c>
      <c r="L413" s="5">
        <v>986</v>
      </c>
      <c r="M413" s="5">
        <v>223</v>
      </c>
      <c r="N413" s="5">
        <v>3</v>
      </c>
      <c r="O413" s="5" t="s">
        <v>32</v>
      </c>
      <c r="P413" s="5">
        <v>6049</v>
      </c>
      <c r="Q413" s="5" t="s">
        <v>33</v>
      </c>
      <c r="R413" s="2">
        <v>1447496.96</v>
      </c>
      <c r="S413" s="2">
        <v>405735.96</v>
      </c>
      <c r="T413" s="1">
        <v>45973</v>
      </c>
      <c r="U413" s="5">
        <v>11</v>
      </c>
    </row>
    <row r="414" spans="1:21" x14ac:dyDescent="0.3">
      <c r="A414" s="5" t="s">
        <v>475</v>
      </c>
      <c r="B414" s="1">
        <v>45956</v>
      </c>
      <c r="C414" s="5" t="s">
        <v>27</v>
      </c>
      <c r="D414" s="5" t="s">
        <v>36</v>
      </c>
      <c r="E414" s="5" t="s">
        <v>49</v>
      </c>
      <c r="F414" s="5" t="s">
        <v>50</v>
      </c>
      <c r="G414" s="5" t="s">
        <v>56</v>
      </c>
      <c r="H414" s="5" t="s">
        <v>51</v>
      </c>
      <c r="I414" s="5">
        <v>466</v>
      </c>
      <c r="J414" s="5">
        <v>2195</v>
      </c>
      <c r="K414" s="5">
        <v>2981.9</v>
      </c>
      <c r="L414" s="5">
        <v>1842</v>
      </c>
      <c r="M414" s="5">
        <v>229</v>
      </c>
      <c r="N414" s="5">
        <v>4</v>
      </c>
      <c r="O414" s="5" t="s">
        <v>32</v>
      </c>
      <c r="P414" s="5">
        <v>6023</v>
      </c>
      <c r="Q414" s="5" t="s">
        <v>33</v>
      </c>
      <c r="R414" s="2">
        <v>1389565.4</v>
      </c>
      <c r="S414" s="2">
        <v>366695.4</v>
      </c>
      <c r="T414" s="1">
        <v>45956</v>
      </c>
      <c r="U414" s="5">
        <v>10</v>
      </c>
    </row>
    <row r="415" spans="1:21" x14ac:dyDescent="0.3">
      <c r="A415" s="5" t="s">
        <v>476</v>
      </c>
      <c r="B415" s="1">
        <v>45860</v>
      </c>
      <c r="C415" s="5" t="s">
        <v>18</v>
      </c>
      <c r="D415" s="5" t="s">
        <v>19</v>
      </c>
      <c r="E415" s="5" t="s">
        <v>29</v>
      </c>
      <c r="F415" s="5" t="s">
        <v>58</v>
      </c>
      <c r="G415" s="5" t="s">
        <v>22</v>
      </c>
      <c r="H415" s="5" t="s">
        <v>51</v>
      </c>
      <c r="I415" s="5">
        <v>474</v>
      </c>
      <c r="J415" s="5">
        <v>4445</v>
      </c>
      <c r="K415" s="5">
        <v>5296.57</v>
      </c>
      <c r="L415" s="5">
        <v>1333</v>
      </c>
      <c r="M415" s="5">
        <v>169</v>
      </c>
      <c r="N415" s="5">
        <v>6</v>
      </c>
      <c r="O415" s="5" t="s">
        <v>24</v>
      </c>
      <c r="P415" s="5">
        <v>7523</v>
      </c>
      <c r="Q415" s="5" t="s">
        <v>25</v>
      </c>
      <c r="R415" s="2">
        <v>2510574.1800000002</v>
      </c>
      <c r="S415" s="2">
        <v>403644.18</v>
      </c>
      <c r="T415" s="1">
        <v>45860</v>
      </c>
      <c r="U415" s="5">
        <v>7</v>
      </c>
    </row>
    <row r="416" spans="1:21" x14ac:dyDescent="0.3">
      <c r="A416" s="5" t="s">
        <v>477</v>
      </c>
      <c r="B416" s="1">
        <v>45753</v>
      </c>
      <c r="C416" s="5" t="s">
        <v>42</v>
      </c>
      <c r="D416" s="5" t="s">
        <v>53</v>
      </c>
      <c r="E416" s="5" t="s">
        <v>49</v>
      </c>
      <c r="F416" s="5" t="s">
        <v>50</v>
      </c>
      <c r="G416" s="5" t="s">
        <v>22</v>
      </c>
      <c r="H416" s="5" t="s">
        <v>39</v>
      </c>
      <c r="I416" s="5">
        <v>287</v>
      </c>
      <c r="J416" s="5">
        <v>1917</v>
      </c>
      <c r="K416" s="5">
        <v>2277.39</v>
      </c>
      <c r="L416" s="5">
        <v>144</v>
      </c>
      <c r="M416" s="5">
        <v>112</v>
      </c>
      <c r="N416" s="5">
        <v>5</v>
      </c>
      <c r="O416" s="5" t="s">
        <v>32</v>
      </c>
      <c r="P416" s="5">
        <v>7628</v>
      </c>
      <c r="Q416" s="5" t="s">
        <v>25</v>
      </c>
      <c r="R416" s="2">
        <v>653610.93000000005</v>
      </c>
      <c r="S416" s="2">
        <v>103431.93</v>
      </c>
      <c r="T416" s="1">
        <v>45753</v>
      </c>
      <c r="U416" s="5">
        <v>4</v>
      </c>
    </row>
    <row r="417" spans="1:21" x14ac:dyDescent="0.3">
      <c r="A417" s="5" t="s">
        <v>478</v>
      </c>
      <c r="B417" s="1">
        <v>45785</v>
      </c>
      <c r="C417" s="5" t="s">
        <v>27</v>
      </c>
      <c r="D417" s="5" t="s">
        <v>28</v>
      </c>
      <c r="E417" s="5" t="s">
        <v>20</v>
      </c>
      <c r="F417" s="5" t="s">
        <v>45</v>
      </c>
      <c r="G417" s="5" t="s">
        <v>38</v>
      </c>
      <c r="H417" s="5" t="s">
        <v>23</v>
      </c>
      <c r="I417" s="5">
        <v>150</v>
      </c>
      <c r="J417" s="5">
        <v>1850</v>
      </c>
      <c r="K417" s="5">
        <v>2174.5500000000002</v>
      </c>
      <c r="L417" s="5">
        <v>402</v>
      </c>
      <c r="M417" s="5">
        <v>87</v>
      </c>
      <c r="N417" s="5">
        <v>6</v>
      </c>
      <c r="O417" s="5" t="s">
        <v>24</v>
      </c>
      <c r="P417" s="5">
        <v>1132</v>
      </c>
      <c r="Q417" s="5" t="s">
        <v>46</v>
      </c>
      <c r="R417" s="2">
        <v>326182.5</v>
      </c>
      <c r="S417" s="2">
        <v>48682.5</v>
      </c>
      <c r="T417" s="1">
        <v>45785</v>
      </c>
      <c r="U417" s="5">
        <v>5</v>
      </c>
    </row>
    <row r="418" spans="1:21" x14ac:dyDescent="0.3">
      <c r="A418" s="5" t="s">
        <v>479</v>
      </c>
      <c r="B418" s="1">
        <v>45858</v>
      </c>
      <c r="C418" s="5" t="s">
        <v>35</v>
      </c>
      <c r="D418" s="5" t="s">
        <v>19</v>
      </c>
      <c r="E418" s="5" t="s">
        <v>49</v>
      </c>
      <c r="F418" s="5" t="s">
        <v>75</v>
      </c>
      <c r="G418" s="5" t="s">
        <v>31</v>
      </c>
      <c r="H418" s="5" t="s">
        <v>51</v>
      </c>
      <c r="I418" s="5">
        <v>37</v>
      </c>
      <c r="J418" s="5">
        <v>2833</v>
      </c>
      <c r="K418" s="5">
        <v>3516.33</v>
      </c>
      <c r="L418" s="5">
        <v>922</v>
      </c>
      <c r="M418" s="5">
        <v>217</v>
      </c>
      <c r="N418" s="5">
        <v>1</v>
      </c>
      <c r="O418" s="5" t="s">
        <v>32</v>
      </c>
      <c r="P418" s="5">
        <v>2731</v>
      </c>
      <c r="Q418" s="5" t="s">
        <v>25</v>
      </c>
      <c r="R418" s="2">
        <v>130104.21</v>
      </c>
      <c r="S418" s="2">
        <v>25283.21</v>
      </c>
      <c r="T418" s="1">
        <v>45858</v>
      </c>
      <c r="U418" s="5">
        <v>7</v>
      </c>
    </row>
    <row r="419" spans="1:21" x14ac:dyDescent="0.3">
      <c r="A419" s="5" t="s">
        <v>480</v>
      </c>
      <c r="B419" s="1">
        <v>45828</v>
      </c>
      <c r="C419" s="5" t="s">
        <v>27</v>
      </c>
      <c r="D419" s="5" t="s">
        <v>53</v>
      </c>
      <c r="E419" s="5" t="s">
        <v>49</v>
      </c>
      <c r="F419" s="5" t="s">
        <v>89</v>
      </c>
      <c r="G419" s="5" t="s">
        <v>31</v>
      </c>
      <c r="H419" s="5" t="s">
        <v>23</v>
      </c>
      <c r="I419" s="5">
        <v>393</v>
      </c>
      <c r="J419" s="5">
        <v>1220</v>
      </c>
      <c r="K419" s="5">
        <v>1759.31</v>
      </c>
      <c r="L419" s="5">
        <v>1531</v>
      </c>
      <c r="M419" s="5">
        <v>285</v>
      </c>
      <c r="N419" s="5">
        <v>10</v>
      </c>
      <c r="O419" s="5" t="s">
        <v>24</v>
      </c>
      <c r="P419" s="5">
        <v>4552</v>
      </c>
      <c r="Q419" s="5" t="s">
        <v>33</v>
      </c>
      <c r="R419" s="2">
        <v>691408.83</v>
      </c>
      <c r="S419" s="2">
        <v>211948.83</v>
      </c>
      <c r="T419" s="1">
        <v>45828</v>
      </c>
      <c r="U419" s="5">
        <v>6</v>
      </c>
    </row>
    <row r="420" spans="1:21" x14ac:dyDescent="0.3">
      <c r="A420" s="5" t="s">
        <v>481</v>
      </c>
      <c r="B420" s="1">
        <v>45746</v>
      </c>
      <c r="C420" s="5" t="s">
        <v>18</v>
      </c>
      <c r="D420" s="5" t="s">
        <v>19</v>
      </c>
      <c r="E420" s="5" t="s">
        <v>20</v>
      </c>
      <c r="F420" s="5" t="s">
        <v>37</v>
      </c>
      <c r="G420" s="5" t="s">
        <v>22</v>
      </c>
      <c r="H420" s="5" t="s">
        <v>51</v>
      </c>
      <c r="I420" s="5">
        <v>485</v>
      </c>
      <c r="J420" s="5">
        <v>2928</v>
      </c>
      <c r="K420" s="5">
        <v>3487.15</v>
      </c>
      <c r="L420" s="5">
        <v>454</v>
      </c>
      <c r="M420" s="5">
        <v>139</v>
      </c>
      <c r="N420" s="5">
        <v>4</v>
      </c>
      <c r="O420" s="5" t="s">
        <v>32</v>
      </c>
      <c r="P420" s="5">
        <v>5476</v>
      </c>
      <c r="Q420" s="5" t="s">
        <v>33</v>
      </c>
      <c r="R420" s="2">
        <v>1691267.75</v>
      </c>
      <c r="S420" s="2">
        <v>271187.75</v>
      </c>
      <c r="T420" s="1">
        <v>45746</v>
      </c>
      <c r="U420" s="5">
        <v>3</v>
      </c>
    </row>
    <row r="421" spans="1:21" x14ac:dyDescent="0.3">
      <c r="A421" s="5" t="s">
        <v>482</v>
      </c>
      <c r="B421" s="1">
        <v>45988</v>
      </c>
      <c r="C421" s="5" t="s">
        <v>35</v>
      </c>
      <c r="D421" s="5" t="s">
        <v>19</v>
      </c>
      <c r="E421" s="5" t="s">
        <v>29</v>
      </c>
      <c r="F421" s="5" t="s">
        <v>58</v>
      </c>
      <c r="G421" s="5" t="s">
        <v>56</v>
      </c>
      <c r="H421" s="5" t="s">
        <v>51</v>
      </c>
      <c r="I421" s="5">
        <v>127</v>
      </c>
      <c r="J421" s="5">
        <v>1999</v>
      </c>
      <c r="K421" s="5">
        <v>2961.01</v>
      </c>
      <c r="L421" s="5">
        <v>95</v>
      </c>
      <c r="M421" s="5">
        <v>266</v>
      </c>
      <c r="N421" s="5">
        <v>8</v>
      </c>
      <c r="O421" s="5" t="s">
        <v>24</v>
      </c>
      <c r="P421" s="5">
        <v>4798</v>
      </c>
      <c r="Q421" s="5" t="s">
        <v>33</v>
      </c>
      <c r="R421" s="2">
        <v>376048.27</v>
      </c>
      <c r="S421" s="2">
        <v>122175.27</v>
      </c>
      <c r="T421" s="1">
        <v>45988</v>
      </c>
      <c r="U421" s="5">
        <v>11</v>
      </c>
    </row>
    <row r="422" spans="1:21" x14ac:dyDescent="0.3">
      <c r="A422" s="5" t="s">
        <v>483</v>
      </c>
      <c r="B422" s="1">
        <v>45909</v>
      </c>
      <c r="C422" s="5" t="s">
        <v>35</v>
      </c>
      <c r="D422" s="5" t="s">
        <v>19</v>
      </c>
      <c r="E422" s="5" t="s">
        <v>29</v>
      </c>
      <c r="F422" s="5" t="s">
        <v>69</v>
      </c>
      <c r="G422" s="5" t="s">
        <v>31</v>
      </c>
      <c r="H422" s="5" t="s">
        <v>23</v>
      </c>
      <c r="I422" s="5">
        <v>458</v>
      </c>
      <c r="J422" s="5">
        <v>1368</v>
      </c>
      <c r="K422" s="5">
        <v>1574.39</v>
      </c>
      <c r="L422" s="5">
        <v>452</v>
      </c>
      <c r="M422" s="5">
        <v>246</v>
      </c>
      <c r="N422" s="5">
        <v>5</v>
      </c>
      <c r="O422" s="5" t="s">
        <v>32</v>
      </c>
      <c r="P422" s="5">
        <v>1866</v>
      </c>
      <c r="Q422" s="5" t="s">
        <v>33</v>
      </c>
      <c r="R422" s="2">
        <v>721070.62</v>
      </c>
      <c r="S422" s="2">
        <v>94526.62</v>
      </c>
      <c r="T422" s="1">
        <v>45909</v>
      </c>
      <c r="U422" s="5">
        <v>9</v>
      </c>
    </row>
    <row r="423" spans="1:21" x14ac:dyDescent="0.3">
      <c r="A423" s="5" t="s">
        <v>484</v>
      </c>
      <c r="B423" s="1">
        <v>45981</v>
      </c>
      <c r="C423" s="5" t="s">
        <v>35</v>
      </c>
      <c r="D423" s="5" t="s">
        <v>28</v>
      </c>
      <c r="E423" s="5" t="s">
        <v>20</v>
      </c>
      <c r="F423" s="5" t="s">
        <v>100</v>
      </c>
      <c r="G423" s="5" t="s">
        <v>38</v>
      </c>
      <c r="H423" s="5" t="s">
        <v>51</v>
      </c>
      <c r="I423" s="5">
        <v>220</v>
      </c>
      <c r="J423" s="5">
        <v>2780</v>
      </c>
      <c r="K423" s="5">
        <v>3577.21</v>
      </c>
      <c r="L423" s="5">
        <v>1792</v>
      </c>
      <c r="M423" s="5">
        <v>127</v>
      </c>
      <c r="N423" s="5">
        <v>1</v>
      </c>
      <c r="O423" s="5" t="s">
        <v>32</v>
      </c>
      <c r="P423" s="5">
        <v>3485</v>
      </c>
      <c r="Q423" s="5" t="s">
        <v>33</v>
      </c>
      <c r="R423" s="2">
        <v>786986.2</v>
      </c>
      <c r="S423" s="2">
        <v>175386.2</v>
      </c>
      <c r="T423" s="1">
        <v>45981</v>
      </c>
      <c r="U423" s="5">
        <v>11</v>
      </c>
    </row>
    <row r="424" spans="1:21" x14ac:dyDescent="0.3">
      <c r="A424" s="5" t="s">
        <v>485</v>
      </c>
      <c r="B424" s="1">
        <v>45800</v>
      </c>
      <c r="C424" s="5" t="s">
        <v>27</v>
      </c>
      <c r="D424" s="5" t="s">
        <v>53</v>
      </c>
      <c r="E424" s="5" t="s">
        <v>20</v>
      </c>
      <c r="F424" s="5" t="s">
        <v>21</v>
      </c>
      <c r="G424" s="5" t="s">
        <v>22</v>
      </c>
      <c r="H424" s="5" t="s">
        <v>39</v>
      </c>
      <c r="I424" s="5">
        <v>57</v>
      </c>
      <c r="J424" s="5">
        <v>3788</v>
      </c>
      <c r="K424" s="5">
        <v>4401.75</v>
      </c>
      <c r="L424" s="5">
        <v>1532</v>
      </c>
      <c r="M424" s="5">
        <v>217</v>
      </c>
      <c r="N424" s="5">
        <v>6</v>
      </c>
      <c r="O424" s="5" t="s">
        <v>24</v>
      </c>
      <c r="P424" s="5">
        <v>6991</v>
      </c>
      <c r="Q424" s="5" t="s">
        <v>25</v>
      </c>
      <c r="R424" s="2">
        <v>250899.75</v>
      </c>
      <c r="S424" s="2">
        <v>34983.75</v>
      </c>
      <c r="T424" s="1">
        <v>45800</v>
      </c>
      <c r="U424" s="5">
        <v>5</v>
      </c>
    </row>
    <row r="425" spans="1:21" x14ac:dyDescent="0.3">
      <c r="A425" s="5" t="s">
        <v>486</v>
      </c>
      <c r="B425" s="1">
        <v>45722</v>
      </c>
      <c r="C425" s="5" t="s">
        <v>27</v>
      </c>
      <c r="D425" s="5" t="s">
        <v>19</v>
      </c>
      <c r="E425" s="5" t="s">
        <v>49</v>
      </c>
      <c r="F425" s="5" t="s">
        <v>94</v>
      </c>
      <c r="G425" s="5" t="s">
        <v>31</v>
      </c>
      <c r="H425" s="5" t="s">
        <v>51</v>
      </c>
      <c r="I425" s="5">
        <v>13</v>
      </c>
      <c r="J425" s="5">
        <v>4607</v>
      </c>
      <c r="K425" s="5">
        <v>5327.04</v>
      </c>
      <c r="L425" s="5">
        <v>1885</v>
      </c>
      <c r="M425" s="5">
        <v>234</v>
      </c>
      <c r="N425" s="5">
        <v>9</v>
      </c>
      <c r="O425" s="5" t="s">
        <v>24</v>
      </c>
      <c r="P425" s="5">
        <v>2184</v>
      </c>
      <c r="Q425" s="5" t="s">
        <v>46</v>
      </c>
      <c r="R425" s="2">
        <v>69251.520000000004</v>
      </c>
      <c r="S425" s="2">
        <v>9360.52</v>
      </c>
      <c r="T425" s="1">
        <v>45722</v>
      </c>
      <c r="U425" s="5">
        <v>3</v>
      </c>
    </row>
    <row r="426" spans="1:21" x14ac:dyDescent="0.3">
      <c r="A426" s="5" t="s">
        <v>487</v>
      </c>
      <c r="B426" s="1">
        <v>45754</v>
      </c>
      <c r="C426" s="5" t="s">
        <v>18</v>
      </c>
      <c r="D426" s="5" t="s">
        <v>28</v>
      </c>
      <c r="E426" s="5" t="s">
        <v>20</v>
      </c>
      <c r="F426" s="5" t="s">
        <v>100</v>
      </c>
      <c r="G426" s="5" t="s">
        <v>22</v>
      </c>
      <c r="H426" s="5" t="s">
        <v>23</v>
      </c>
      <c r="I426" s="5">
        <v>175</v>
      </c>
      <c r="J426" s="5">
        <v>4655</v>
      </c>
      <c r="K426" s="5">
        <v>5697.11</v>
      </c>
      <c r="L426" s="5">
        <v>1940</v>
      </c>
      <c r="M426" s="5">
        <v>89</v>
      </c>
      <c r="N426" s="5">
        <v>2</v>
      </c>
      <c r="O426" s="5" t="s">
        <v>32</v>
      </c>
      <c r="P426" s="5">
        <v>2838</v>
      </c>
      <c r="Q426" s="5" t="s">
        <v>33</v>
      </c>
      <c r="R426" s="2">
        <v>996994.25</v>
      </c>
      <c r="S426" s="2">
        <v>182369.25</v>
      </c>
      <c r="T426" s="1">
        <v>45754</v>
      </c>
      <c r="U426" s="5">
        <v>4</v>
      </c>
    </row>
    <row r="427" spans="1:21" x14ac:dyDescent="0.3">
      <c r="A427" s="5" t="s">
        <v>488</v>
      </c>
      <c r="B427" s="1">
        <v>45822</v>
      </c>
      <c r="C427" s="5" t="s">
        <v>42</v>
      </c>
      <c r="D427" s="5" t="s">
        <v>62</v>
      </c>
      <c r="E427" s="5" t="s">
        <v>20</v>
      </c>
      <c r="F427" s="5" t="s">
        <v>60</v>
      </c>
      <c r="G427" s="5" t="s">
        <v>38</v>
      </c>
      <c r="H427" s="5" t="s">
        <v>23</v>
      </c>
      <c r="I427" s="5">
        <v>374</v>
      </c>
      <c r="J427" s="5">
        <v>3231</v>
      </c>
      <c r="K427" s="5">
        <v>3948.89</v>
      </c>
      <c r="L427" s="5">
        <v>167</v>
      </c>
      <c r="M427" s="5">
        <v>209</v>
      </c>
      <c r="N427" s="5">
        <v>9</v>
      </c>
      <c r="O427" s="5" t="s">
        <v>24</v>
      </c>
      <c r="P427" s="5">
        <v>5112</v>
      </c>
      <c r="Q427" s="5" t="s">
        <v>33</v>
      </c>
      <c r="R427" s="2">
        <v>1476884.86</v>
      </c>
      <c r="S427" s="2">
        <v>268490.86</v>
      </c>
      <c r="T427" s="1">
        <v>45822</v>
      </c>
      <c r="U427" s="5">
        <v>6</v>
      </c>
    </row>
    <row r="428" spans="1:21" x14ac:dyDescent="0.3">
      <c r="A428" s="5" t="s">
        <v>489</v>
      </c>
      <c r="B428" s="1">
        <v>45729</v>
      </c>
      <c r="C428" s="5" t="s">
        <v>18</v>
      </c>
      <c r="D428" s="5" t="s">
        <v>28</v>
      </c>
      <c r="E428" s="5" t="s">
        <v>20</v>
      </c>
      <c r="F428" s="5" t="s">
        <v>37</v>
      </c>
      <c r="G428" s="5" t="s">
        <v>56</v>
      </c>
      <c r="H428" s="5" t="s">
        <v>51</v>
      </c>
      <c r="I428" s="5">
        <v>473</v>
      </c>
      <c r="J428" s="5">
        <v>846</v>
      </c>
      <c r="K428" s="5">
        <v>1067.47</v>
      </c>
      <c r="L428" s="5">
        <v>591</v>
      </c>
      <c r="M428" s="5">
        <v>252</v>
      </c>
      <c r="N428" s="5">
        <v>5</v>
      </c>
      <c r="O428" s="5" t="s">
        <v>32</v>
      </c>
      <c r="P428" s="5">
        <v>5447</v>
      </c>
      <c r="Q428" s="5" t="s">
        <v>33</v>
      </c>
      <c r="R428" s="2">
        <v>504913.31</v>
      </c>
      <c r="S428" s="2">
        <v>104755.31</v>
      </c>
      <c r="T428" s="1">
        <v>45729</v>
      </c>
      <c r="U428" s="5">
        <v>3</v>
      </c>
    </row>
    <row r="429" spans="1:21" x14ac:dyDescent="0.3">
      <c r="A429" s="5" t="s">
        <v>490</v>
      </c>
      <c r="B429" s="1">
        <v>45913</v>
      </c>
      <c r="C429" s="5" t="s">
        <v>27</v>
      </c>
      <c r="D429" s="5" t="s">
        <v>36</v>
      </c>
      <c r="E429" s="5" t="s">
        <v>20</v>
      </c>
      <c r="F429" s="5" t="s">
        <v>100</v>
      </c>
      <c r="G429" s="5" t="s">
        <v>31</v>
      </c>
      <c r="H429" s="5" t="s">
        <v>51</v>
      </c>
      <c r="I429" s="5">
        <v>93</v>
      </c>
      <c r="J429" s="5">
        <v>2144</v>
      </c>
      <c r="K429" s="5">
        <v>2607.37</v>
      </c>
      <c r="L429" s="5">
        <v>1982</v>
      </c>
      <c r="M429" s="5">
        <v>110</v>
      </c>
      <c r="N429" s="5">
        <v>9</v>
      </c>
      <c r="O429" s="5" t="s">
        <v>24</v>
      </c>
      <c r="P429" s="5">
        <v>2133</v>
      </c>
      <c r="Q429" s="5" t="s">
        <v>25</v>
      </c>
      <c r="R429" s="2">
        <v>242485.41</v>
      </c>
      <c r="S429" s="2">
        <v>43093.41</v>
      </c>
      <c r="T429" s="1">
        <v>45913</v>
      </c>
      <c r="U429" s="5">
        <v>9</v>
      </c>
    </row>
    <row r="430" spans="1:21" x14ac:dyDescent="0.3">
      <c r="A430" s="5" t="s">
        <v>491</v>
      </c>
      <c r="B430" s="1">
        <v>45943</v>
      </c>
      <c r="C430" s="5" t="s">
        <v>27</v>
      </c>
      <c r="D430" s="5" t="s">
        <v>36</v>
      </c>
      <c r="E430" s="5" t="s">
        <v>29</v>
      </c>
      <c r="F430" s="5" t="s">
        <v>30</v>
      </c>
      <c r="G430" s="5" t="s">
        <v>22</v>
      </c>
      <c r="H430" s="5" t="s">
        <v>23</v>
      </c>
      <c r="I430" s="5">
        <v>469</v>
      </c>
      <c r="J430" s="5">
        <v>1912</v>
      </c>
      <c r="K430" s="5">
        <v>2593.88</v>
      </c>
      <c r="L430" s="5">
        <v>1670</v>
      </c>
      <c r="M430" s="5">
        <v>166</v>
      </c>
      <c r="N430" s="5">
        <v>4</v>
      </c>
      <c r="O430" s="5" t="s">
        <v>32</v>
      </c>
      <c r="P430" s="5">
        <v>7642</v>
      </c>
      <c r="Q430" s="5" t="s">
        <v>33</v>
      </c>
      <c r="R430" s="2">
        <v>1216529.72</v>
      </c>
      <c r="S430" s="2">
        <v>319801.71999999997</v>
      </c>
      <c r="T430" s="1">
        <v>45943</v>
      </c>
      <c r="U430" s="5">
        <v>10</v>
      </c>
    </row>
    <row r="431" spans="1:21" x14ac:dyDescent="0.3">
      <c r="A431" s="5" t="s">
        <v>492</v>
      </c>
      <c r="B431" s="1">
        <v>45989</v>
      </c>
      <c r="C431" s="5" t="s">
        <v>27</v>
      </c>
      <c r="D431" s="5" t="s">
        <v>53</v>
      </c>
      <c r="E431" s="5" t="s">
        <v>20</v>
      </c>
      <c r="F431" s="5" t="s">
        <v>21</v>
      </c>
      <c r="G431" s="5" t="s">
        <v>38</v>
      </c>
      <c r="H431" s="5" t="s">
        <v>23</v>
      </c>
      <c r="I431" s="5">
        <v>436</v>
      </c>
      <c r="J431" s="5">
        <v>410</v>
      </c>
      <c r="K431" s="5">
        <v>491.18</v>
      </c>
      <c r="L431" s="5">
        <v>1958</v>
      </c>
      <c r="M431" s="5">
        <v>203</v>
      </c>
      <c r="N431" s="5">
        <v>2</v>
      </c>
      <c r="O431" s="5" t="s">
        <v>32</v>
      </c>
      <c r="P431" s="5">
        <v>1178</v>
      </c>
      <c r="Q431" s="5" t="s">
        <v>33</v>
      </c>
      <c r="R431" s="2">
        <v>214154.48</v>
      </c>
      <c r="S431" s="2">
        <v>35394.480000000003</v>
      </c>
      <c r="T431" s="1">
        <v>45989</v>
      </c>
      <c r="U431" s="5">
        <v>11</v>
      </c>
    </row>
    <row r="432" spans="1:21" x14ac:dyDescent="0.3">
      <c r="A432" s="5" t="s">
        <v>493</v>
      </c>
      <c r="B432" s="1">
        <v>46006</v>
      </c>
      <c r="C432" s="5" t="s">
        <v>35</v>
      </c>
      <c r="D432" s="5" t="s">
        <v>19</v>
      </c>
      <c r="E432" s="5" t="s">
        <v>20</v>
      </c>
      <c r="F432" s="5" t="s">
        <v>100</v>
      </c>
      <c r="G432" s="5" t="s">
        <v>56</v>
      </c>
      <c r="H432" s="5" t="s">
        <v>51</v>
      </c>
      <c r="I432" s="5">
        <v>34</v>
      </c>
      <c r="J432" s="5">
        <v>805</v>
      </c>
      <c r="K432" s="5">
        <v>1166.58</v>
      </c>
      <c r="L432" s="5">
        <v>709</v>
      </c>
      <c r="M432" s="5">
        <v>192</v>
      </c>
      <c r="N432" s="5">
        <v>8</v>
      </c>
      <c r="O432" s="5" t="s">
        <v>24</v>
      </c>
      <c r="P432" s="5">
        <v>2607</v>
      </c>
      <c r="Q432" s="5" t="s">
        <v>33</v>
      </c>
      <c r="R432" s="2">
        <v>39663.72</v>
      </c>
      <c r="S432" s="2">
        <v>12293.72</v>
      </c>
      <c r="T432" s="1">
        <v>46006</v>
      </c>
      <c r="U432" s="5">
        <v>12</v>
      </c>
    </row>
    <row r="433" spans="1:21" x14ac:dyDescent="0.3">
      <c r="A433" s="5" t="s">
        <v>494</v>
      </c>
      <c r="B433" s="1">
        <v>46014</v>
      </c>
      <c r="C433" s="5" t="s">
        <v>18</v>
      </c>
      <c r="D433" s="5" t="s">
        <v>19</v>
      </c>
      <c r="E433" s="5" t="s">
        <v>49</v>
      </c>
      <c r="F433" s="5" t="s">
        <v>89</v>
      </c>
      <c r="G433" s="5" t="s">
        <v>31</v>
      </c>
      <c r="H433" s="5" t="s">
        <v>23</v>
      </c>
      <c r="I433" s="5">
        <v>211</v>
      </c>
      <c r="J433" s="5">
        <v>3327</v>
      </c>
      <c r="K433" s="5">
        <v>4661.41</v>
      </c>
      <c r="L433" s="5">
        <v>1191</v>
      </c>
      <c r="M433" s="5">
        <v>177</v>
      </c>
      <c r="N433" s="5">
        <v>10</v>
      </c>
      <c r="O433" s="5" t="s">
        <v>24</v>
      </c>
      <c r="P433" s="5">
        <v>4729</v>
      </c>
      <c r="Q433" s="5" t="s">
        <v>46</v>
      </c>
      <c r="R433" s="2">
        <v>983557.51</v>
      </c>
      <c r="S433" s="2">
        <v>281560.51</v>
      </c>
      <c r="T433" s="1">
        <v>46014</v>
      </c>
      <c r="U433" s="5">
        <v>12</v>
      </c>
    </row>
    <row r="434" spans="1:21" x14ac:dyDescent="0.3">
      <c r="A434" s="5" t="s">
        <v>495</v>
      </c>
      <c r="B434" s="1">
        <v>45679</v>
      </c>
      <c r="C434" s="5" t="s">
        <v>35</v>
      </c>
      <c r="D434" s="5" t="s">
        <v>28</v>
      </c>
      <c r="E434" s="5" t="s">
        <v>54</v>
      </c>
      <c r="F434" s="5" t="s">
        <v>63</v>
      </c>
      <c r="G434" s="5" t="s">
        <v>38</v>
      </c>
      <c r="H434" s="5" t="s">
        <v>39</v>
      </c>
      <c r="I434" s="5">
        <v>147</v>
      </c>
      <c r="J434" s="5">
        <v>4713</v>
      </c>
      <c r="K434" s="5">
        <v>6103.3</v>
      </c>
      <c r="L434" s="5">
        <v>1112</v>
      </c>
      <c r="M434" s="5">
        <v>276</v>
      </c>
      <c r="N434" s="5">
        <v>9</v>
      </c>
      <c r="O434" s="5" t="s">
        <v>24</v>
      </c>
      <c r="P434" s="5">
        <v>3128</v>
      </c>
      <c r="Q434" s="5" t="s">
        <v>33</v>
      </c>
      <c r="R434" s="2">
        <v>897185.1</v>
      </c>
      <c r="S434" s="2">
        <v>204374.1</v>
      </c>
      <c r="T434" s="1">
        <v>45679</v>
      </c>
      <c r="U434" s="5">
        <v>1</v>
      </c>
    </row>
    <row r="435" spans="1:21" x14ac:dyDescent="0.3">
      <c r="A435" s="5" t="s">
        <v>496</v>
      </c>
      <c r="B435" s="1">
        <v>45953</v>
      </c>
      <c r="C435" s="5" t="s">
        <v>27</v>
      </c>
      <c r="D435" s="5" t="s">
        <v>19</v>
      </c>
      <c r="E435" s="5" t="s">
        <v>49</v>
      </c>
      <c r="F435" s="5" t="s">
        <v>65</v>
      </c>
      <c r="G435" s="5" t="s">
        <v>22</v>
      </c>
      <c r="H435" s="5" t="s">
        <v>23</v>
      </c>
      <c r="I435" s="5">
        <v>303</v>
      </c>
      <c r="J435" s="5">
        <v>3479</v>
      </c>
      <c r="K435" s="5">
        <v>4927.66</v>
      </c>
      <c r="L435" s="5">
        <v>1432</v>
      </c>
      <c r="M435" s="5">
        <v>185</v>
      </c>
      <c r="N435" s="5">
        <v>10</v>
      </c>
      <c r="O435" s="5" t="s">
        <v>24</v>
      </c>
      <c r="P435" s="5">
        <v>2796</v>
      </c>
      <c r="Q435" s="5" t="s">
        <v>33</v>
      </c>
      <c r="R435" s="2">
        <v>1493080.98</v>
      </c>
      <c r="S435" s="2">
        <v>438943.98</v>
      </c>
      <c r="T435" s="1">
        <v>45953</v>
      </c>
      <c r="U435" s="5">
        <v>10</v>
      </c>
    </row>
    <row r="436" spans="1:21" x14ac:dyDescent="0.3">
      <c r="A436" s="5" t="s">
        <v>497</v>
      </c>
      <c r="B436" s="1">
        <v>45793</v>
      </c>
      <c r="C436" s="5" t="s">
        <v>35</v>
      </c>
      <c r="D436" s="5" t="s">
        <v>62</v>
      </c>
      <c r="E436" s="5" t="s">
        <v>20</v>
      </c>
      <c r="F436" s="5" t="s">
        <v>45</v>
      </c>
      <c r="G436" s="5" t="s">
        <v>22</v>
      </c>
      <c r="H436" s="5" t="s">
        <v>23</v>
      </c>
      <c r="I436" s="5">
        <v>447</v>
      </c>
      <c r="J436" s="5">
        <v>3370</v>
      </c>
      <c r="K436" s="5">
        <v>4838.3999999999996</v>
      </c>
      <c r="L436" s="5">
        <v>1310</v>
      </c>
      <c r="M436" s="5">
        <v>216</v>
      </c>
      <c r="N436" s="5">
        <v>6</v>
      </c>
      <c r="O436" s="5" t="s">
        <v>24</v>
      </c>
      <c r="P436" s="5">
        <v>5375</v>
      </c>
      <c r="Q436" s="5" t="s">
        <v>25</v>
      </c>
      <c r="R436" s="2">
        <v>2162764.7999999998</v>
      </c>
      <c r="S436" s="2">
        <v>656374.80000000005</v>
      </c>
      <c r="T436" s="1">
        <v>45793</v>
      </c>
      <c r="U436" s="5">
        <v>5</v>
      </c>
    </row>
    <row r="437" spans="1:21" x14ac:dyDescent="0.3">
      <c r="A437" s="5" t="s">
        <v>498</v>
      </c>
      <c r="B437" s="1">
        <v>45985</v>
      </c>
      <c r="C437" s="5" t="s">
        <v>18</v>
      </c>
      <c r="D437" s="5" t="s">
        <v>62</v>
      </c>
      <c r="E437" s="5" t="s">
        <v>20</v>
      </c>
      <c r="F437" s="5" t="s">
        <v>100</v>
      </c>
      <c r="G437" s="5" t="s">
        <v>56</v>
      </c>
      <c r="H437" s="5" t="s">
        <v>23</v>
      </c>
      <c r="I437" s="5">
        <v>199</v>
      </c>
      <c r="J437" s="5">
        <v>1930</v>
      </c>
      <c r="K437" s="5">
        <v>2409.02</v>
      </c>
      <c r="L437" s="5">
        <v>1377</v>
      </c>
      <c r="M437" s="5">
        <v>186</v>
      </c>
      <c r="N437" s="5">
        <v>8</v>
      </c>
      <c r="O437" s="5" t="s">
        <v>24</v>
      </c>
      <c r="P437" s="5">
        <v>6534</v>
      </c>
      <c r="Q437" s="5" t="s">
        <v>33</v>
      </c>
      <c r="R437" s="2">
        <v>479394.98</v>
      </c>
      <c r="S437" s="2">
        <v>95324.98</v>
      </c>
      <c r="T437" s="1">
        <v>45985</v>
      </c>
      <c r="U437" s="5">
        <v>11</v>
      </c>
    </row>
    <row r="438" spans="1:21" x14ac:dyDescent="0.3">
      <c r="A438" s="5" t="s">
        <v>499</v>
      </c>
      <c r="B438" s="1">
        <v>45854</v>
      </c>
      <c r="C438" s="5" t="s">
        <v>42</v>
      </c>
      <c r="D438" s="5" t="s">
        <v>36</v>
      </c>
      <c r="E438" s="5" t="s">
        <v>29</v>
      </c>
      <c r="F438" s="5" t="s">
        <v>43</v>
      </c>
      <c r="G438" s="5" t="s">
        <v>38</v>
      </c>
      <c r="H438" s="5" t="s">
        <v>51</v>
      </c>
      <c r="I438" s="5">
        <v>490</v>
      </c>
      <c r="J438" s="5">
        <v>1353</v>
      </c>
      <c r="K438" s="5">
        <v>1829.15</v>
      </c>
      <c r="L438" s="5">
        <v>401</v>
      </c>
      <c r="M438" s="5">
        <v>282</v>
      </c>
      <c r="N438" s="5">
        <v>10</v>
      </c>
      <c r="O438" s="5" t="s">
        <v>24</v>
      </c>
      <c r="P438" s="5">
        <v>5511</v>
      </c>
      <c r="Q438" s="5" t="s">
        <v>46</v>
      </c>
      <c r="R438" s="2">
        <v>896283.5</v>
      </c>
      <c r="S438" s="2">
        <v>233313.5</v>
      </c>
      <c r="T438" s="1">
        <v>45854</v>
      </c>
      <c r="U438" s="5">
        <v>7</v>
      </c>
    </row>
    <row r="439" spans="1:21" x14ac:dyDescent="0.3">
      <c r="A439" s="5" t="s">
        <v>500</v>
      </c>
      <c r="B439" s="1">
        <v>45665</v>
      </c>
      <c r="C439" s="5" t="s">
        <v>42</v>
      </c>
      <c r="D439" s="5" t="s">
        <v>28</v>
      </c>
      <c r="E439" s="5" t="s">
        <v>20</v>
      </c>
      <c r="F439" s="5" t="s">
        <v>37</v>
      </c>
      <c r="G439" s="5" t="s">
        <v>56</v>
      </c>
      <c r="H439" s="5" t="s">
        <v>23</v>
      </c>
      <c r="I439" s="5">
        <v>209</v>
      </c>
      <c r="J439" s="5">
        <v>4919</v>
      </c>
      <c r="K439" s="5">
        <v>5694.16</v>
      </c>
      <c r="L439" s="5">
        <v>1031</v>
      </c>
      <c r="M439" s="5">
        <v>181</v>
      </c>
      <c r="N439" s="5">
        <v>3</v>
      </c>
      <c r="O439" s="5" t="s">
        <v>32</v>
      </c>
      <c r="P439" s="5">
        <v>7913</v>
      </c>
      <c r="Q439" s="5" t="s">
        <v>33</v>
      </c>
      <c r="R439" s="2">
        <v>1190079.44</v>
      </c>
      <c r="S439" s="2">
        <v>162008.44</v>
      </c>
      <c r="T439" s="1">
        <v>45665</v>
      </c>
      <c r="U439" s="5">
        <v>1</v>
      </c>
    </row>
    <row r="440" spans="1:21" x14ac:dyDescent="0.3">
      <c r="A440" s="5" t="s">
        <v>501</v>
      </c>
      <c r="B440" s="1">
        <v>45812</v>
      </c>
      <c r="C440" s="5" t="s">
        <v>18</v>
      </c>
      <c r="D440" s="5" t="s">
        <v>28</v>
      </c>
      <c r="E440" s="5" t="s">
        <v>49</v>
      </c>
      <c r="F440" s="5" t="s">
        <v>75</v>
      </c>
      <c r="G440" s="5" t="s">
        <v>38</v>
      </c>
      <c r="H440" s="5" t="s">
        <v>39</v>
      </c>
      <c r="I440" s="5">
        <v>122</v>
      </c>
      <c r="J440" s="5">
        <v>1884</v>
      </c>
      <c r="K440" s="5">
        <v>2225.09</v>
      </c>
      <c r="L440" s="5">
        <v>1435</v>
      </c>
      <c r="M440" s="5">
        <v>167</v>
      </c>
      <c r="N440" s="5">
        <v>9</v>
      </c>
      <c r="O440" s="5" t="s">
        <v>24</v>
      </c>
      <c r="P440" s="5">
        <v>6857</v>
      </c>
      <c r="Q440" s="5" t="s">
        <v>40</v>
      </c>
      <c r="R440" s="2">
        <v>271460.98</v>
      </c>
      <c r="S440" s="2">
        <v>41612.980000000003</v>
      </c>
      <c r="T440" s="1">
        <v>45812</v>
      </c>
      <c r="U440" s="5">
        <v>6</v>
      </c>
    </row>
    <row r="441" spans="1:21" x14ac:dyDescent="0.3">
      <c r="A441" s="5" t="s">
        <v>502</v>
      </c>
      <c r="B441" s="1">
        <v>45994</v>
      </c>
      <c r="C441" s="5" t="s">
        <v>18</v>
      </c>
      <c r="D441" s="5" t="s">
        <v>19</v>
      </c>
      <c r="E441" s="5" t="s">
        <v>54</v>
      </c>
      <c r="F441" s="5" t="s">
        <v>81</v>
      </c>
      <c r="G441" s="5" t="s">
        <v>31</v>
      </c>
      <c r="H441" s="5" t="s">
        <v>51</v>
      </c>
      <c r="I441" s="5">
        <v>372</v>
      </c>
      <c r="J441" s="5">
        <v>816</v>
      </c>
      <c r="K441" s="5">
        <v>1040.53</v>
      </c>
      <c r="L441" s="5">
        <v>223</v>
      </c>
      <c r="M441" s="5">
        <v>203</v>
      </c>
      <c r="N441" s="5">
        <v>3</v>
      </c>
      <c r="O441" s="5" t="s">
        <v>32</v>
      </c>
      <c r="P441" s="5">
        <v>2687</v>
      </c>
      <c r="Q441" s="5" t="s">
        <v>33</v>
      </c>
      <c r="R441" s="2">
        <v>387077.16</v>
      </c>
      <c r="S441" s="2">
        <v>83525.16</v>
      </c>
      <c r="T441" s="1">
        <v>45994</v>
      </c>
      <c r="U441" s="5">
        <v>12</v>
      </c>
    </row>
    <row r="442" spans="1:21" x14ac:dyDescent="0.3">
      <c r="A442" s="5" t="s">
        <v>503</v>
      </c>
      <c r="B442" s="1">
        <v>45711</v>
      </c>
      <c r="C442" s="5" t="s">
        <v>18</v>
      </c>
      <c r="D442" s="5" t="s">
        <v>19</v>
      </c>
      <c r="E442" s="5" t="s">
        <v>29</v>
      </c>
      <c r="F442" s="5" t="s">
        <v>43</v>
      </c>
      <c r="G442" s="5" t="s">
        <v>31</v>
      </c>
      <c r="H442" s="5" t="s">
        <v>39</v>
      </c>
      <c r="I442" s="5">
        <v>122</v>
      </c>
      <c r="J442" s="5">
        <v>4924</v>
      </c>
      <c r="K442" s="5">
        <v>5884.76</v>
      </c>
      <c r="L442" s="5">
        <v>167</v>
      </c>
      <c r="M442" s="5">
        <v>241</v>
      </c>
      <c r="N442" s="5">
        <v>4</v>
      </c>
      <c r="O442" s="5" t="s">
        <v>32</v>
      </c>
      <c r="P442" s="5">
        <v>5575</v>
      </c>
      <c r="Q442" s="5" t="s">
        <v>25</v>
      </c>
      <c r="R442" s="2">
        <v>717940.72</v>
      </c>
      <c r="S442" s="2">
        <v>117212.72</v>
      </c>
      <c r="T442" s="1">
        <v>45711</v>
      </c>
      <c r="U442" s="5">
        <v>2</v>
      </c>
    </row>
    <row r="443" spans="1:21" x14ac:dyDescent="0.3">
      <c r="A443" s="5" t="s">
        <v>504</v>
      </c>
      <c r="B443" s="1">
        <v>45810</v>
      </c>
      <c r="C443" s="5" t="s">
        <v>18</v>
      </c>
      <c r="D443" s="5" t="s">
        <v>19</v>
      </c>
      <c r="E443" s="5" t="s">
        <v>29</v>
      </c>
      <c r="F443" s="5" t="s">
        <v>58</v>
      </c>
      <c r="G443" s="5" t="s">
        <v>31</v>
      </c>
      <c r="H443" s="5" t="s">
        <v>23</v>
      </c>
      <c r="I443" s="5">
        <v>317</v>
      </c>
      <c r="J443" s="5">
        <v>4750</v>
      </c>
      <c r="K443" s="5">
        <v>6696.64</v>
      </c>
      <c r="L443" s="5">
        <v>970</v>
      </c>
      <c r="M443" s="5">
        <v>252</v>
      </c>
      <c r="N443" s="5">
        <v>1</v>
      </c>
      <c r="O443" s="5" t="s">
        <v>32</v>
      </c>
      <c r="P443" s="5">
        <v>928</v>
      </c>
      <c r="Q443" s="5" t="s">
        <v>33</v>
      </c>
      <c r="R443" s="2">
        <v>2122834.88</v>
      </c>
      <c r="S443" s="2">
        <v>617084.88</v>
      </c>
      <c r="T443" s="1">
        <v>45810</v>
      </c>
      <c r="U443" s="5">
        <v>6</v>
      </c>
    </row>
    <row r="444" spans="1:21" x14ac:dyDescent="0.3">
      <c r="A444" s="5" t="s">
        <v>505</v>
      </c>
      <c r="B444" s="1">
        <v>45934</v>
      </c>
      <c r="C444" s="5" t="s">
        <v>18</v>
      </c>
      <c r="D444" s="5" t="s">
        <v>53</v>
      </c>
      <c r="E444" s="5" t="s">
        <v>29</v>
      </c>
      <c r="F444" s="5" t="s">
        <v>58</v>
      </c>
      <c r="G444" s="5" t="s">
        <v>22</v>
      </c>
      <c r="H444" s="5" t="s">
        <v>51</v>
      </c>
      <c r="I444" s="5">
        <v>249</v>
      </c>
      <c r="J444" s="5">
        <v>1455</v>
      </c>
      <c r="K444" s="5">
        <v>2006.98</v>
      </c>
      <c r="L444" s="5">
        <v>1652</v>
      </c>
      <c r="M444" s="5">
        <v>216</v>
      </c>
      <c r="N444" s="5">
        <v>3</v>
      </c>
      <c r="O444" s="5" t="s">
        <v>32</v>
      </c>
      <c r="P444" s="5">
        <v>4378</v>
      </c>
      <c r="Q444" s="5" t="s">
        <v>33</v>
      </c>
      <c r="R444" s="2">
        <v>499738.02</v>
      </c>
      <c r="S444" s="2">
        <v>137443.01999999999</v>
      </c>
      <c r="T444" s="1">
        <v>45934</v>
      </c>
      <c r="U444" s="5">
        <v>10</v>
      </c>
    </row>
    <row r="445" spans="1:21" x14ac:dyDescent="0.3">
      <c r="A445" s="5" t="s">
        <v>506</v>
      </c>
      <c r="B445" s="1">
        <v>45725</v>
      </c>
      <c r="C445" s="5" t="s">
        <v>35</v>
      </c>
      <c r="D445" s="5" t="s">
        <v>36</v>
      </c>
      <c r="E445" s="5" t="s">
        <v>20</v>
      </c>
      <c r="F445" s="5" t="s">
        <v>21</v>
      </c>
      <c r="G445" s="5" t="s">
        <v>31</v>
      </c>
      <c r="H445" s="5" t="s">
        <v>23</v>
      </c>
      <c r="I445" s="5">
        <v>186</v>
      </c>
      <c r="J445" s="5">
        <v>2589</v>
      </c>
      <c r="K445" s="5">
        <v>3768.87</v>
      </c>
      <c r="L445" s="5">
        <v>1174</v>
      </c>
      <c r="M445" s="5">
        <v>174</v>
      </c>
      <c r="N445" s="5">
        <v>4</v>
      </c>
      <c r="O445" s="5" t="s">
        <v>32</v>
      </c>
      <c r="P445" s="5">
        <v>3986</v>
      </c>
      <c r="Q445" s="5" t="s">
        <v>25</v>
      </c>
      <c r="R445" s="2">
        <v>701009.82</v>
      </c>
      <c r="S445" s="2">
        <v>219455.82</v>
      </c>
      <c r="T445" s="1">
        <v>45725</v>
      </c>
      <c r="U445" s="5">
        <v>3</v>
      </c>
    </row>
    <row r="446" spans="1:21" x14ac:dyDescent="0.3">
      <c r="A446" s="5" t="s">
        <v>507</v>
      </c>
      <c r="B446" s="1">
        <v>45959</v>
      </c>
      <c r="C446" s="5" t="s">
        <v>27</v>
      </c>
      <c r="D446" s="5" t="s">
        <v>19</v>
      </c>
      <c r="E446" s="5" t="s">
        <v>54</v>
      </c>
      <c r="F446" s="5" t="s">
        <v>55</v>
      </c>
      <c r="G446" s="5" t="s">
        <v>22</v>
      </c>
      <c r="H446" s="5" t="s">
        <v>23</v>
      </c>
      <c r="I446" s="5">
        <v>53</v>
      </c>
      <c r="J446" s="5">
        <v>4548</v>
      </c>
      <c r="K446" s="5">
        <v>6657.67</v>
      </c>
      <c r="L446" s="5">
        <v>1154</v>
      </c>
      <c r="M446" s="5">
        <v>235</v>
      </c>
      <c r="N446" s="5">
        <v>1</v>
      </c>
      <c r="O446" s="5" t="s">
        <v>32</v>
      </c>
      <c r="P446" s="5">
        <v>3329</v>
      </c>
      <c r="Q446" s="5" t="s">
        <v>33</v>
      </c>
      <c r="R446" s="2">
        <v>352856.51</v>
      </c>
      <c r="S446" s="2">
        <v>111812.51</v>
      </c>
      <c r="T446" s="1">
        <v>45959</v>
      </c>
      <c r="U446" s="5">
        <v>10</v>
      </c>
    </row>
    <row r="447" spans="1:21" x14ac:dyDescent="0.3">
      <c r="A447" s="5" t="s">
        <v>508</v>
      </c>
      <c r="B447" s="1">
        <v>45864</v>
      </c>
      <c r="C447" s="5" t="s">
        <v>35</v>
      </c>
      <c r="D447" s="5" t="s">
        <v>53</v>
      </c>
      <c r="E447" s="5" t="s">
        <v>54</v>
      </c>
      <c r="F447" s="5" t="s">
        <v>81</v>
      </c>
      <c r="G447" s="5" t="s">
        <v>38</v>
      </c>
      <c r="H447" s="5" t="s">
        <v>39</v>
      </c>
      <c r="I447" s="5">
        <v>129</v>
      </c>
      <c r="J447" s="5">
        <v>3654</v>
      </c>
      <c r="K447" s="5">
        <v>5009.59</v>
      </c>
      <c r="L447" s="5">
        <v>1894</v>
      </c>
      <c r="M447" s="5">
        <v>277</v>
      </c>
      <c r="N447" s="5">
        <v>2</v>
      </c>
      <c r="O447" s="5" t="s">
        <v>32</v>
      </c>
      <c r="P447" s="5">
        <v>7727</v>
      </c>
      <c r="Q447" s="5" t="s">
        <v>33</v>
      </c>
      <c r="R447" s="2">
        <v>646237.11</v>
      </c>
      <c r="S447" s="2">
        <v>174871.11</v>
      </c>
      <c r="T447" s="1">
        <v>45864</v>
      </c>
      <c r="U447" s="5">
        <v>7</v>
      </c>
    </row>
    <row r="448" spans="1:21" x14ac:dyDescent="0.3">
      <c r="A448" s="5" t="s">
        <v>509</v>
      </c>
      <c r="B448" s="1">
        <v>45977</v>
      </c>
      <c r="C448" s="5" t="s">
        <v>35</v>
      </c>
      <c r="D448" s="5" t="s">
        <v>53</v>
      </c>
      <c r="E448" s="5" t="s">
        <v>29</v>
      </c>
      <c r="F448" s="5" t="s">
        <v>43</v>
      </c>
      <c r="G448" s="5" t="s">
        <v>38</v>
      </c>
      <c r="H448" s="5" t="s">
        <v>23</v>
      </c>
      <c r="I448" s="5">
        <v>153</v>
      </c>
      <c r="J448" s="5">
        <v>560</v>
      </c>
      <c r="K448" s="5">
        <v>810.6</v>
      </c>
      <c r="L448" s="5">
        <v>1795</v>
      </c>
      <c r="M448" s="5">
        <v>277</v>
      </c>
      <c r="N448" s="5">
        <v>6</v>
      </c>
      <c r="O448" s="5" t="s">
        <v>24</v>
      </c>
      <c r="P448" s="5">
        <v>6069</v>
      </c>
      <c r="Q448" s="5" t="s">
        <v>25</v>
      </c>
      <c r="R448" s="2">
        <v>124021.8</v>
      </c>
      <c r="S448" s="2">
        <v>38341.800000000003</v>
      </c>
      <c r="T448" s="1">
        <v>45977</v>
      </c>
      <c r="U448" s="5">
        <v>11</v>
      </c>
    </row>
    <row r="449" spans="1:21" x14ac:dyDescent="0.3">
      <c r="A449" s="5" t="s">
        <v>510</v>
      </c>
      <c r="B449" s="1">
        <v>45698</v>
      </c>
      <c r="C449" s="5" t="s">
        <v>35</v>
      </c>
      <c r="D449" s="5" t="s">
        <v>19</v>
      </c>
      <c r="E449" s="5" t="s">
        <v>20</v>
      </c>
      <c r="F449" s="5" t="s">
        <v>21</v>
      </c>
      <c r="G449" s="5" t="s">
        <v>38</v>
      </c>
      <c r="H449" s="5" t="s">
        <v>51</v>
      </c>
      <c r="I449" s="5">
        <v>101</v>
      </c>
      <c r="J449" s="5">
        <v>3329</v>
      </c>
      <c r="K449" s="5">
        <v>4148.41</v>
      </c>
      <c r="L449" s="5">
        <v>593</v>
      </c>
      <c r="M449" s="5">
        <v>100</v>
      </c>
      <c r="N449" s="5">
        <v>3</v>
      </c>
      <c r="O449" s="5" t="s">
        <v>32</v>
      </c>
      <c r="P449" s="5">
        <v>710</v>
      </c>
      <c r="Q449" s="5" t="s">
        <v>33</v>
      </c>
      <c r="R449" s="2">
        <v>418989.41</v>
      </c>
      <c r="S449" s="2">
        <v>82760.41</v>
      </c>
      <c r="T449" s="1">
        <v>45698</v>
      </c>
      <c r="U449" s="5">
        <v>2</v>
      </c>
    </row>
    <row r="450" spans="1:21" x14ac:dyDescent="0.3">
      <c r="A450" s="5" t="s">
        <v>511</v>
      </c>
      <c r="B450" s="1">
        <v>45924</v>
      </c>
      <c r="C450" s="5" t="s">
        <v>18</v>
      </c>
      <c r="D450" s="5" t="s">
        <v>28</v>
      </c>
      <c r="E450" s="5" t="s">
        <v>49</v>
      </c>
      <c r="F450" s="5" t="s">
        <v>75</v>
      </c>
      <c r="G450" s="5" t="s">
        <v>38</v>
      </c>
      <c r="H450" s="5" t="s">
        <v>39</v>
      </c>
      <c r="I450" s="5">
        <v>241</v>
      </c>
      <c r="J450" s="5">
        <v>4039</v>
      </c>
      <c r="K450" s="5">
        <v>5580.38</v>
      </c>
      <c r="L450" s="5">
        <v>350</v>
      </c>
      <c r="M450" s="5">
        <v>256</v>
      </c>
      <c r="N450" s="5">
        <v>10</v>
      </c>
      <c r="O450" s="5" t="s">
        <v>24</v>
      </c>
      <c r="P450" s="5">
        <v>5048</v>
      </c>
      <c r="Q450" s="5" t="s">
        <v>33</v>
      </c>
      <c r="R450" s="2">
        <v>1344871.58</v>
      </c>
      <c r="S450" s="2">
        <v>371472.58</v>
      </c>
      <c r="T450" s="1">
        <v>45924</v>
      </c>
      <c r="U450" s="5">
        <v>9</v>
      </c>
    </row>
    <row r="451" spans="1:21" x14ac:dyDescent="0.3">
      <c r="A451" s="5" t="s">
        <v>512</v>
      </c>
      <c r="B451" s="1">
        <v>45701</v>
      </c>
      <c r="C451" s="5" t="s">
        <v>18</v>
      </c>
      <c r="D451" s="5" t="s">
        <v>28</v>
      </c>
      <c r="E451" s="5" t="s">
        <v>29</v>
      </c>
      <c r="F451" s="5" t="s">
        <v>43</v>
      </c>
      <c r="G451" s="5" t="s">
        <v>31</v>
      </c>
      <c r="H451" s="5" t="s">
        <v>39</v>
      </c>
      <c r="I451" s="5">
        <v>127</v>
      </c>
      <c r="J451" s="5">
        <v>1428</v>
      </c>
      <c r="K451" s="5">
        <v>1863.74</v>
      </c>
      <c r="L451" s="5">
        <v>893</v>
      </c>
      <c r="M451" s="5">
        <v>232</v>
      </c>
      <c r="N451" s="5">
        <v>7</v>
      </c>
      <c r="O451" s="5" t="s">
        <v>24</v>
      </c>
      <c r="P451" s="5">
        <v>5407</v>
      </c>
      <c r="Q451" s="5" t="s">
        <v>25</v>
      </c>
      <c r="R451" s="2">
        <v>236694.98</v>
      </c>
      <c r="S451" s="2">
        <v>55338.98</v>
      </c>
      <c r="T451" s="1">
        <v>45701</v>
      </c>
      <c r="U451" s="5">
        <v>2</v>
      </c>
    </row>
    <row r="452" spans="1:21" x14ac:dyDescent="0.3">
      <c r="A452" s="5" t="s">
        <v>513</v>
      </c>
      <c r="B452" s="1">
        <v>45706</v>
      </c>
      <c r="C452" s="5" t="s">
        <v>27</v>
      </c>
      <c r="D452" s="5" t="s">
        <v>28</v>
      </c>
      <c r="E452" s="5" t="s">
        <v>54</v>
      </c>
      <c r="F452" s="5" t="s">
        <v>63</v>
      </c>
      <c r="G452" s="5" t="s">
        <v>56</v>
      </c>
      <c r="H452" s="5" t="s">
        <v>39</v>
      </c>
      <c r="I452" s="5">
        <v>212</v>
      </c>
      <c r="J452" s="5">
        <v>3920</v>
      </c>
      <c r="K452" s="5">
        <v>5519</v>
      </c>
      <c r="L452" s="5">
        <v>463</v>
      </c>
      <c r="M452" s="5">
        <v>184</v>
      </c>
      <c r="N452" s="5">
        <v>2</v>
      </c>
      <c r="O452" s="5" t="s">
        <v>32</v>
      </c>
      <c r="P452" s="5">
        <v>1092</v>
      </c>
      <c r="Q452" s="5" t="s">
        <v>33</v>
      </c>
      <c r="R452" s="2">
        <v>1170028</v>
      </c>
      <c r="S452" s="2">
        <v>338988</v>
      </c>
      <c r="T452" s="1">
        <v>45706</v>
      </c>
      <c r="U452" s="5">
        <v>2</v>
      </c>
    </row>
    <row r="453" spans="1:21" x14ac:dyDescent="0.3">
      <c r="A453" s="5" t="s">
        <v>514</v>
      </c>
      <c r="B453" s="1">
        <v>45921</v>
      </c>
      <c r="C453" s="5" t="s">
        <v>18</v>
      </c>
      <c r="D453" s="5" t="s">
        <v>28</v>
      </c>
      <c r="E453" s="5" t="s">
        <v>49</v>
      </c>
      <c r="F453" s="5" t="s">
        <v>65</v>
      </c>
      <c r="G453" s="5" t="s">
        <v>38</v>
      </c>
      <c r="H453" s="5" t="s">
        <v>23</v>
      </c>
      <c r="I453" s="5">
        <v>379</v>
      </c>
      <c r="J453" s="5">
        <v>2827</v>
      </c>
      <c r="K453" s="5">
        <v>3530.85</v>
      </c>
      <c r="L453" s="5">
        <v>1484</v>
      </c>
      <c r="M453" s="5">
        <v>203</v>
      </c>
      <c r="N453" s="5">
        <v>5</v>
      </c>
      <c r="O453" s="5" t="s">
        <v>32</v>
      </c>
      <c r="P453" s="5">
        <v>4045</v>
      </c>
      <c r="Q453" s="5" t="s">
        <v>33</v>
      </c>
      <c r="R453" s="2">
        <v>1338192.1499999999</v>
      </c>
      <c r="S453" s="2">
        <v>266759.15000000002</v>
      </c>
      <c r="T453" s="1">
        <v>45921</v>
      </c>
      <c r="U453" s="5">
        <v>9</v>
      </c>
    </row>
    <row r="454" spans="1:21" x14ac:dyDescent="0.3">
      <c r="A454" s="5" t="s">
        <v>515</v>
      </c>
      <c r="B454" s="1">
        <v>45756</v>
      </c>
      <c r="C454" s="5" t="s">
        <v>18</v>
      </c>
      <c r="D454" s="5" t="s">
        <v>53</v>
      </c>
      <c r="E454" s="5" t="s">
        <v>20</v>
      </c>
      <c r="F454" s="5" t="s">
        <v>60</v>
      </c>
      <c r="G454" s="5" t="s">
        <v>56</v>
      </c>
      <c r="H454" s="5" t="s">
        <v>23</v>
      </c>
      <c r="I454" s="5">
        <v>129</v>
      </c>
      <c r="J454" s="5">
        <v>2743</v>
      </c>
      <c r="K454" s="5">
        <v>3290.78</v>
      </c>
      <c r="L454" s="5">
        <v>1707</v>
      </c>
      <c r="M454" s="5">
        <v>270</v>
      </c>
      <c r="N454" s="5">
        <v>9</v>
      </c>
      <c r="O454" s="5" t="s">
        <v>24</v>
      </c>
      <c r="P454" s="5">
        <v>4682</v>
      </c>
      <c r="Q454" s="5" t="s">
        <v>40</v>
      </c>
      <c r="R454" s="2">
        <v>424510.62</v>
      </c>
      <c r="S454" s="2">
        <v>70663.62</v>
      </c>
      <c r="T454" s="1">
        <v>45756</v>
      </c>
      <c r="U454" s="5">
        <v>4</v>
      </c>
    </row>
    <row r="455" spans="1:21" x14ac:dyDescent="0.3">
      <c r="A455" s="5" t="s">
        <v>516</v>
      </c>
      <c r="B455" s="1">
        <v>45934</v>
      </c>
      <c r="C455" s="5" t="s">
        <v>42</v>
      </c>
      <c r="D455" s="5" t="s">
        <v>62</v>
      </c>
      <c r="E455" s="5" t="s">
        <v>20</v>
      </c>
      <c r="F455" s="5" t="s">
        <v>21</v>
      </c>
      <c r="G455" s="5" t="s">
        <v>22</v>
      </c>
      <c r="H455" s="5" t="s">
        <v>23</v>
      </c>
      <c r="I455" s="5">
        <v>356</v>
      </c>
      <c r="J455" s="5">
        <v>4643</v>
      </c>
      <c r="K455" s="5">
        <v>5628.14</v>
      </c>
      <c r="L455" s="5">
        <v>1079</v>
      </c>
      <c r="M455" s="5">
        <v>263</v>
      </c>
      <c r="N455" s="5">
        <v>2</v>
      </c>
      <c r="O455" s="5" t="s">
        <v>24</v>
      </c>
      <c r="P455" s="5">
        <v>2870</v>
      </c>
      <c r="Q455" s="5" t="s">
        <v>25</v>
      </c>
      <c r="R455" s="2">
        <v>2003617.84</v>
      </c>
      <c r="S455" s="2">
        <v>350709.84</v>
      </c>
      <c r="T455" s="1">
        <v>45934</v>
      </c>
      <c r="U455" s="5">
        <v>10</v>
      </c>
    </row>
    <row r="456" spans="1:21" x14ac:dyDescent="0.3">
      <c r="A456" s="5" t="s">
        <v>517</v>
      </c>
      <c r="B456" s="1">
        <v>45917</v>
      </c>
      <c r="C456" s="5" t="s">
        <v>35</v>
      </c>
      <c r="D456" s="5" t="s">
        <v>19</v>
      </c>
      <c r="E456" s="5" t="s">
        <v>29</v>
      </c>
      <c r="F456" s="5" t="s">
        <v>69</v>
      </c>
      <c r="G456" s="5" t="s">
        <v>38</v>
      </c>
      <c r="H456" s="5" t="s">
        <v>51</v>
      </c>
      <c r="I456" s="5">
        <v>88</v>
      </c>
      <c r="J456" s="5">
        <v>1784</v>
      </c>
      <c r="K456" s="5">
        <v>2322.92</v>
      </c>
      <c r="L456" s="5">
        <v>1498</v>
      </c>
      <c r="M456" s="5">
        <v>224</v>
      </c>
      <c r="N456" s="5">
        <v>3</v>
      </c>
      <c r="O456" s="5" t="s">
        <v>32</v>
      </c>
      <c r="P456" s="5">
        <v>688</v>
      </c>
      <c r="Q456" s="5" t="s">
        <v>33</v>
      </c>
      <c r="R456" s="2">
        <v>204416.96</v>
      </c>
      <c r="S456" s="2">
        <v>47424.959999999999</v>
      </c>
      <c r="T456" s="1">
        <v>45917</v>
      </c>
      <c r="U456" s="5">
        <v>9</v>
      </c>
    </row>
    <row r="457" spans="1:21" x14ac:dyDescent="0.3">
      <c r="A457" s="5" t="s">
        <v>518</v>
      </c>
      <c r="B457" s="1">
        <v>45979</v>
      </c>
      <c r="C457" s="5" t="s">
        <v>18</v>
      </c>
      <c r="D457" s="5" t="s">
        <v>36</v>
      </c>
      <c r="E457" s="5" t="s">
        <v>29</v>
      </c>
      <c r="F457" s="5" t="s">
        <v>30</v>
      </c>
      <c r="G457" s="5" t="s">
        <v>22</v>
      </c>
      <c r="H457" s="5" t="s">
        <v>39</v>
      </c>
      <c r="I457" s="5">
        <v>106</v>
      </c>
      <c r="J457" s="5">
        <v>987</v>
      </c>
      <c r="K457" s="5">
        <v>1386.95</v>
      </c>
      <c r="L457" s="5">
        <v>757</v>
      </c>
      <c r="M457" s="5">
        <v>135</v>
      </c>
      <c r="N457" s="5">
        <v>4</v>
      </c>
      <c r="O457" s="5" t="s">
        <v>32</v>
      </c>
      <c r="P457" s="5">
        <v>1050</v>
      </c>
      <c r="Q457" s="5" t="s">
        <v>33</v>
      </c>
      <c r="R457" s="2">
        <v>147016.70000000001</v>
      </c>
      <c r="S457" s="2">
        <v>42394.7</v>
      </c>
      <c r="T457" s="1">
        <v>45979</v>
      </c>
      <c r="U457" s="5">
        <v>11</v>
      </c>
    </row>
    <row r="458" spans="1:21" x14ac:dyDescent="0.3">
      <c r="A458" s="5" t="s">
        <v>519</v>
      </c>
      <c r="B458" s="1">
        <v>45857</v>
      </c>
      <c r="C458" s="5" t="s">
        <v>42</v>
      </c>
      <c r="D458" s="5" t="s">
        <v>19</v>
      </c>
      <c r="E458" s="5" t="s">
        <v>54</v>
      </c>
      <c r="F458" s="5" t="s">
        <v>63</v>
      </c>
      <c r="G458" s="5" t="s">
        <v>38</v>
      </c>
      <c r="H458" s="5" t="s">
        <v>51</v>
      </c>
      <c r="I458" s="5">
        <v>368</v>
      </c>
      <c r="J458" s="5">
        <v>4819</v>
      </c>
      <c r="K458" s="5">
        <v>6188.61</v>
      </c>
      <c r="L458" s="5">
        <v>1018</v>
      </c>
      <c r="M458" s="5">
        <v>248</v>
      </c>
      <c r="N458" s="5">
        <v>3</v>
      </c>
      <c r="O458" s="5" t="s">
        <v>32</v>
      </c>
      <c r="P458" s="5">
        <v>6439</v>
      </c>
      <c r="Q458" s="5" t="s">
        <v>33</v>
      </c>
      <c r="R458" s="2">
        <v>2277408.48</v>
      </c>
      <c r="S458" s="2">
        <v>504016.48</v>
      </c>
      <c r="T458" s="1">
        <v>45857</v>
      </c>
      <c r="U458" s="5">
        <v>7</v>
      </c>
    </row>
    <row r="459" spans="1:21" x14ac:dyDescent="0.3">
      <c r="A459" s="5" t="s">
        <v>520</v>
      </c>
      <c r="B459" s="1">
        <v>45788</v>
      </c>
      <c r="C459" s="5" t="s">
        <v>18</v>
      </c>
      <c r="D459" s="5" t="s">
        <v>62</v>
      </c>
      <c r="E459" s="5" t="s">
        <v>29</v>
      </c>
      <c r="F459" s="5" t="s">
        <v>58</v>
      </c>
      <c r="G459" s="5" t="s">
        <v>56</v>
      </c>
      <c r="H459" s="5" t="s">
        <v>23</v>
      </c>
      <c r="I459" s="5">
        <v>364</v>
      </c>
      <c r="J459" s="5">
        <v>2740</v>
      </c>
      <c r="K459" s="5">
        <v>3843.75</v>
      </c>
      <c r="L459" s="5">
        <v>1089</v>
      </c>
      <c r="M459" s="5">
        <v>263</v>
      </c>
      <c r="N459" s="5">
        <v>6</v>
      </c>
      <c r="O459" s="5" t="s">
        <v>24</v>
      </c>
      <c r="P459" s="5">
        <v>4445</v>
      </c>
      <c r="Q459" s="5" t="s">
        <v>40</v>
      </c>
      <c r="R459" s="2">
        <v>1399125</v>
      </c>
      <c r="S459" s="2">
        <v>401765</v>
      </c>
      <c r="T459" s="1">
        <v>45788</v>
      </c>
      <c r="U459" s="5">
        <v>5</v>
      </c>
    </row>
    <row r="460" spans="1:21" x14ac:dyDescent="0.3">
      <c r="A460" s="5" t="s">
        <v>521</v>
      </c>
      <c r="B460" s="1">
        <v>45943</v>
      </c>
      <c r="C460" s="5" t="s">
        <v>42</v>
      </c>
      <c r="D460" s="5" t="s">
        <v>36</v>
      </c>
      <c r="E460" s="5" t="s">
        <v>49</v>
      </c>
      <c r="F460" s="5" t="s">
        <v>65</v>
      </c>
      <c r="G460" s="5" t="s">
        <v>56</v>
      </c>
      <c r="H460" s="5" t="s">
        <v>23</v>
      </c>
      <c r="I460" s="5">
        <v>434</v>
      </c>
      <c r="J460" s="5">
        <v>3805</v>
      </c>
      <c r="K460" s="5">
        <v>4973.72</v>
      </c>
      <c r="L460" s="5">
        <v>1851</v>
      </c>
      <c r="M460" s="5">
        <v>188</v>
      </c>
      <c r="N460" s="5">
        <v>2</v>
      </c>
      <c r="O460" s="5" t="s">
        <v>32</v>
      </c>
      <c r="P460" s="5">
        <v>381</v>
      </c>
      <c r="Q460" s="5" t="s">
        <v>33</v>
      </c>
      <c r="R460" s="2">
        <v>2158594.48</v>
      </c>
      <c r="S460" s="2">
        <v>507224.48</v>
      </c>
      <c r="T460" s="1">
        <v>45943</v>
      </c>
      <c r="U460" s="5">
        <v>10</v>
      </c>
    </row>
    <row r="461" spans="1:21" x14ac:dyDescent="0.3">
      <c r="A461" s="5" t="s">
        <v>522</v>
      </c>
      <c r="B461" s="1">
        <v>45730</v>
      </c>
      <c r="C461" s="5" t="s">
        <v>27</v>
      </c>
      <c r="D461" s="5" t="s">
        <v>36</v>
      </c>
      <c r="E461" s="5" t="s">
        <v>49</v>
      </c>
      <c r="F461" s="5" t="s">
        <v>89</v>
      </c>
      <c r="G461" s="5" t="s">
        <v>22</v>
      </c>
      <c r="H461" s="5" t="s">
        <v>23</v>
      </c>
      <c r="I461" s="5">
        <v>378</v>
      </c>
      <c r="J461" s="5">
        <v>2913</v>
      </c>
      <c r="K461" s="5">
        <v>3544.45</v>
      </c>
      <c r="L461" s="5">
        <v>846</v>
      </c>
      <c r="M461" s="5">
        <v>129</v>
      </c>
      <c r="N461" s="5">
        <v>3</v>
      </c>
      <c r="O461" s="5" t="s">
        <v>32</v>
      </c>
      <c r="P461" s="5">
        <v>6989</v>
      </c>
      <c r="Q461" s="5" t="s">
        <v>33</v>
      </c>
      <c r="R461" s="2">
        <v>1339802.1000000001</v>
      </c>
      <c r="S461" s="2">
        <v>238688.1</v>
      </c>
      <c r="T461" s="1">
        <v>45730</v>
      </c>
      <c r="U461" s="5">
        <v>3</v>
      </c>
    </row>
    <row r="462" spans="1:21" x14ac:dyDescent="0.3">
      <c r="A462" s="5" t="s">
        <v>523</v>
      </c>
      <c r="B462" s="1">
        <v>45729</v>
      </c>
      <c r="C462" s="5" t="s">
        <v>42</v>
      </c>
      <c r="D462" s="5" t="s">
        <v>36</v>
      </c>
      <c r="E462" s="5" t="s">
        <v>54</v>
      </c>
      <c r="F462" s="5" t="s">
        <v>63</v>
      </c>
      <c r="G462" s="5" t="s">
        <v>31</v>
      </c>
      <c r="H462" s="5" t="s">
        <v>39</v>
      </c>
      <c r="I462" s="5">
        <v>267</v>
      </c>
      <c r="J462" s="5">
        <v>2540</v>
      </c>
      <c r="K462" s="5">
        <v>2993.46</v>
      </c>
      <c r="L462" s="5">
        <v>1026</v>
      </c>
      <c r="M462" s="5">
        <v>172</v>
      </c>
      <c r="N462" s="5">
        <v>2</v>
      </c>
      <c r="O462" s="5" t="s">
        <v>32</v>
      </c>
      <c r="P462" s="5">
        <v>2842</v>
      </c>
      <c r="Q462" s="5" t="s">
        <v>33</v>
      </c>
      <c r="R462" s="2">
        <v>799253.82</v>
      </c>
      <c r="S462" s="2">
        <v>121073.82</v>
      </c>
      <c r="T462" s="1">
        <v>45729</v>
      </c>
      <c r="U462" s="5">
        <v>3</v>
      </c>
    </row>
    <row r="463" spans="1:21" x14ac:dyDescent="0.3">
      <c r="A463" s="5" t="s">
        <v>524</v>
      </c>
      <c r="B463" s="1">
        <v>45839</v>
      </c>
      <c r="C463" s="5" t="s">
        <v>35</v>
      </c>
      <c r="D463" s="5" t="s">
        <v>19</v>
      </c>
      <c r="E463" s="5" t="s">
        <v>49</v>
      </c>
      <c r="F463" s="5" t="s">
        <v>65</v>
      </c>
      <c r="G463" s="5" t="s">
        <v>38</v>
      </c>
      <c r="H463" s="5" t="s">
        <v>23</v>
      </c>
      <c r="I463" s="5">
        <v>114</v>
      </c>
      <c r="J463" s="5">
        <v>735</v>
      </c>
      <c r="K463" s="5">
        <v>892.09</v>
      </c>
      <c r="L463" s="5">
        <v>937</v>
      </c>
      <c r="M463" s="5">
        <v>233</v>
      </c>
      <c r="N463" s="5">
        <v>10</v>
      </c>
      <c r="O463" s="5" t="s">
        <v>24</v>
      </c>
      <c r="P463" s="5">
        <v>6720</v>
      </c>
      <c r="Q463" s="5" t="s">
        <v>33</v>
      </c>
      <c r="R463" s="2">
        <v>101698.26</v>
      </c>
      <c r="S463" s="2">
        <v>17908.259999999998</v>
      </c>
      <c r="T463" s="1">
        <v>45839</v>
      </c>
      <c r="U463" s="5">
        <v>7</v>
      </c>
    </row>
    <row r="464" spans="1:21" x14ac:dyDescent="0.3">
      <c r="A464" s="5" t="s">
        <v>525</v>
      </c>
      <c r="B464" s="1">
        <v>45949</v>
      </c>
      <c r="C464" s="5" t="s">
        <v>18</v>
      </c>
      <c r="D464" s="5" t="s">
        <v>28</v>
      </c>
      <c r="E464" s="5" t="s">
        <v>20</v>
      </c>
      <c r="F464" s="5" t="s">
        <v>21</v>
      </c>
      <c r="G464" s="5" t="s">
        <v>31</v>
      </c>
      <c r="H464" s="5" t="s">
        <v>39</v>
      </c>
      <c r="I464" s="5">
        <v>127</v>
      </c>
      <c r="J464" s="5">
        <v>1288</v>
      </c>
      <c r="K464" s="5">
        <v>1741.69</v>
      </c>
      <c r="L464" s="5">
        <v>1911</v>
      </c>
      <c r="M464" s="5">
        <v>282</v>
      </c>
      <c r="N464" s="5">
        <v>2</v>
      </c>
      <c r="O464" s="5" t="s">
        <v>24</v>
      </c>
      <c r="P464" s="5">
        <v>6125</v>
      </c>
      <c r="Q464" s="5" t="s">
        <v>46</v>
      </c>
      <c r="R464" s="2">
        <v>221194.63</v>
      </c>
      <c r="S464" s="2">
        <v>57618.63</v>
      </c>
      <c r="T464" s="1">
        <v>45949</v>
      </c>
      <c r="U464" s="5">
        <v>10</v>
      </c>
    </row>
    <row r="465" spans="1:21" x14ac:dyDescent="0.3">
      <c r="A465" s="5" t="s">
        <v>526</v>
      </c>
      <c r="B465" s="1">
        <v>45717</v>
      </c>
      <c r="C465" s="5" t="s">
        <v>42</v>
      </c>
      <c r="D465" s="5" t="s">
        <v>36</v>
      </c>
      <c r="E465" s="5" t="s">
        <v>20</v>
      </c>
      <c r="F465" s="5" t="s">
        <v>60</v>
      </c>
      <c r="G465" s="5" t="s">
        <v>56</v>
      </c>
      <c r="H465" s="5" t="s">
        <v>39</v>
      </c>
      <c r="I465" s="5">
        <v>218</v>
      </c>
      <c r="J465" s="5">
        <v>3147</v>
      </c>
      <c r="K465" s="5">
        <v>3957.49</v>
      </c>
      <c r="L465" s="5">
        <v>1597</v>
      </c>
      <c r="M465" s="5">
        <v>94</v>
      </c>
      <c r="N465" s="5">
        <v>6</v>
      </c>
      <c r="O465" s="5" t="s">
        <v>24</v>
      </c>
      <c r="P465" s="5">
        <v>3416</v>
      </c>
      <c r="Q465" s="5" t="s">
        <v>46</v>
      </c>
      <c r="R465" s="2">
        <v>862732.82</v>
      </c>
      <c r="S465" s="2">
        <v>176686.82</v>
      </c>
      <c r="T465" s="1">
        <v>45717</v>
      </c>
      <c r="U465" s="5">
        <v>3</v>
      </c>
    </row>
    <row r="466" spans="1:21" x14ac:dyDescent="0.3">
      <c r="A466" s="5" t="s">
        <v>527</v>
      </c>
      <c r="B466" s="1">
        <v>45729</v>
      </c>
      <c r="C466" s="5" t="s">
        <v>18</v>
      </c>
      <c r="D466" s="5" t="s">
        <v>28</v>
      </c>
      <c r="E466" s="5" t="s">
        <v>54</v>
      </c>
      <c r="F466" s="5" t="s">
        <v>87</v>
      </c>
      <c r="G466" s="5" t="s">
        <v>38</v>
      </c>
      <c r="H466" s="5" t="s">
        <v>39</v>
      </c>
      <c r="I466" s="5">
        <v>301</v>
      </c>
      <c r="J466" s="5">
        <v>2485</v>
      </c>
      <c r="K466" s="5">
        <v>3206.06</v>
      </c>
      <c r="L466" s="5">
        <v>1711</v>
      </c>
      <c r="M466" s="5">
        <v>216</v>
      </c>
      <c r="N466" s="5">
        <v>4</v>
      </c>
      <c r="O466" s="5" t="s">
        <v>32</v>
      </c>
      <c r="P466" s="5">
        <v>5316</v>
      </c>
      <c r="Q466" s="5" t="s">
        <v>33</v>
      </c>
      <c r="R466" s="2">
        <v>965024.06</v>
      </c>
      <c r="S466" s="2">
        <v>217039.06</v>
      </c>
      <c r="T466" s="1">
        <v>45729</v>
      </c>
      <c r="U466" s="5">
        <v>3</v>
      </c>
    </row>
    <row r="467" spans="1:21" x14ac:dyDescent="0.3">
      <c r="A467" s="5" t="s">
        <v>528</v>
      </c>
      <c r="B467" s="1">
        <v>45849</v>
      </c>
      <c r="C467" s="5" t="s">
        <v>35</v>
      </c>
      <c r="D467" s="5" t="s">
        <v>62</v>
      </c>
      <c r="E467" s="5" t="s">
        <v>49</v>
      </c>
      <c r="F467" s="5" t="s">
        <v>75</v>
      </c>
      <c r="G467" s="5" t="s">
        <v>38</v>
      </c>
      <c r="H467" s="5" t="s">
        <v>39</v>
      </c>
      <c r="I467" s="5">
        <v>278</v>
      </c>
      <c r="J467" s="5">
        <v>4743</v>
      </c>
      <c r="K467" s="5">
        <v>6216.5</v>
      </c>
      <c r="L467" s="5">
        <v>246</v>
      </c>
      <c r="M467" s="5">
        <v>279</v>
      </c>
      <c r="N467" s="5">
        <v>7</v>
      </c>
      <c r="O467" s="5" t="s">
        <v>24</v>
      </c>
      <c r="P467" s="5">
        <v>3877</v>
      </c>
      <c r="Q467" s="5" t="s">
        <v>25</v>
      </c>
      <c r="R467" s="2">
        <v>1728187</v>
      </c>
      <c r="S467" s="2">
        <v>409633</v>
      </c>
      <c r="T467" s="1">
        <v>45849</v>
      </c>
      <c r="U467" s="5">
        <v>7</v>
      </c>
    </row>
    <row r="468" spans="1:21" x14ac:dyDescent="0.3">
      <c r="A468" s="5" t="s">
        <v>529</v>
      </c>
      <c r="B468" s="1">
        <v>45865</v>
      </c>
      <c r="C468" s="5" t="s">
        <v>35</v>
      </c>
      <c r="D468" s="5" t="s">
        <v>53</v>
      </c>
      <c r="E468" s="5" t="s">
        <v>49</v>
      </c>
      <c r="F468" s="5" t="s">
        <v>75</v>
      </c>
      <c r="G468" s="5" t="s">
        <v>22</v>
      </c>
      <c r="H468" s="5" t="s">
        <v>51</v>
      </c>
      <c r="I468" s="5">
        <v>463</v>
      </c>
      <c r="J468" s="5">
        <v>1953</v>
      </c>
      <c r="K468" s="5">
        <v>2822.42</v>
      </c>
      <c r="L468" s="5">
        <v>822</v>
      </c>
      <c r="M468" s="5">
        <v>195</v>
      </c>
      <c r="N468" s="5">
        <v>3</v>
      </c>
      <c r="O468" s="5" t="s">
        <v>32</v>
      </c>
      <c r="P468" s="5">
        <v>6284</v>
      </c>
      <c r="Q468" s="5" t="s">
        <v>33</v>
      </c>
      <c r="R468" s="2">
        <v>1306780.46</v>
      </c>
      <c r="S468" s="2">
        <v>402541.46</v>
      </c>
      <c r="T468" s="1">
        <v>45865</v>
      </c>
      <c r="U468" s="5">
        <v>7</v>
      </c>
    </row>
    <row r="469" spans="1:21" x14ac:dyDescent="0.3">
      <c r="A469" s="5" t="s">
        <v>530</v>
      </c>
      <c r="B469" s="1">
        <v>45999</v>
      </c>
      <c r="C469" s="5" t="s">
        <v>42</v>
      </c>
      <c r="D469" s="5" t="s">
        <v>28</v>
      </c>
      <c r="E469" s="5" t="s">
        <v>49</v>
      </c>
      <c r="F469" s="5" t="s">
        <v>50</v>
      </c>
      <c r="G469" s="5" t="s">
        <v>31</v>
      </c>
      <c r="H469" s="5" t="s">
        <v>39</v>
      </c>
      <c r="I469" s="5">
        <v>83</v>
      </c>
      <c r="J469" s="5">
        <v>2626</v>
      </c>
      <c r="K469" s="5">
        <v>3590.7</v>
      </c>
      <c r="L469" s="5">
        <v>1152</v>
      </c>
      <c r="M469" s="5">
        <v>291</v>
      </c>
      <c r="N469" s="5">
        <v>10</v>
      </c>
      <c r="O469" s="5" t="s">
        <v>24</v>
      </c>
      <c r="P469" s="5">
        <v>826</v>
      </c>
      <c r="Q469" s="5" t="s">
        <v>46</v>
      </c>
      <c r="R469" s="2">
        <v>298028.09999999998</v>
      </c>
      <c r="S469" s="2">
        <v>80070.100000000006</v>
      </c>
      <c r="T469" s="1">
        <v>45999</v>
      </c>
      <c r="U469" s="5">
        <v>12</v>
      </c>
    </row>
    <row r="470" spans="1:21" x14ac:dyDescent="0.3">
      <c r="A470" s="5" t="s">
        <v>531</v>
      </c>
      <c r="B470" s="1">
        <v>45888</v>
      </c>
      <c r="C470" s="5" t="s">
        <v>42</v>
      </c>
      <c r="D470" s="5" t="s">
        <v>36</v>
      </c>
      <c r="E470" s="5" t="s">
        <v>49</v>
      </c>
      <c r="F470" s="5" t="s">
        <v>65</v>
      </c>
      <c r="G470" s="5" t="s">
        <v>22</v>
      </c>
      <c r="H470" s="5" t="s">
        <v>23</v>
      </c>
      <c r="I470" s="5">
        <v>242</v>
      </c>
      <c r="J470" s="5">
        <v>960</v>
      </c>
      <c r="K470" s="5">
        <v>1387.78</v>
      </c>
      <c r="L470" s="5">
        <v>257</v>
      </c>
      <c r="M470" s="5">
        <v>230</v>
      </c>
      <c r="N470" s="5">
        <v>9</v>
      </c>
      <c r="O470" s="5" t="s">
        <v>24</v>
      </c>
      <c r="P470" s="5">
        <v>6873</v>
      </c>
      <c r="Q470" s="5" t="s">
        <v>40</v>
      </c>
      <c r="R470" s="2">
        <v>335842.76</v>
      </c>
      <c r="S470" s="2">
        <v>103522.76</v>
      </c>
      <c r="T470" s="1">
        <v>45888</v>
      </c>
      <c r="U470" s="5">
        <v>8</v>
      </c>
    </row>
    <row r="471" spans="1:21" x14ac:dyDescent="0.3">
      <c r="A471" s="5" t="s">
        <v>532</v>
      </c>
      <c r="B471" s="1">
        <v>45695</v>
      </c>
      <c r="C471" s="5" t="s">
        <v>18</v>
      </c>
      <c r="D471" s="5" t="s">
        <v>28</v>
      </c>
      <c r="E471" s="5" t="s">
        <v>20</v>
      </c>
      <c r="F471" s="5" t="s">
        <v>100</v>
      </c>
      <c r="G471" s="5" t="s">
        <v>38</v>
      </c>
      <c r="H471" s="5" t="s">
        <v>23</v>
      </c>
      <c r="I471" s="5">
        <v>388</v>
      </c>
      <c r="J471" s="5">
        <v>336</v>
      </c>
      <c r="K471" s="5">
        <v>420.76</v>
      </c>
      <c r="L471" s="5">
        <v>1944</v>
      </c>
      <c r="M471" s="5">
        <v>101</v>
      </c>
      <c r="N471" s="5">
        <v>9</v>
      </c>
      <c r="O471" s="5" t="s">
        <v>24</v>
      </c>
      <c r="P471" s="5">
        <v>6723</v>
      </c>
      <c r="Q471" s="5" t="s">
        <v>46</v>
      </c>
      <c r="R471" s="2">
        <v>163254.88</v>
      </c>
      <c r="S471" s="2">
        <v>32886.879999999997</v>
      </c>
      <c r="T471" s="1">
        <v>45695</v>
      </c>
      <c r="U471" s="5">
        <v>2</v>
      </c>
    </row>
    <row r="472" spans="1:21" x14ac:dyDescent="0.3">
      <c r="A472" s="5" t="s">
        <v>533</v>
      </c>
      <c r="B472" s="1">
        <v>45666</v>
      </c>
      <c r="C472" s="5" t="s">
        <v>35</v>
      </c>
      <c r="D472" s="5" t="s">
        <v>53</v>
      </c>
      <c r="E472" s="5" t="s">
        <v>20</v>
      </c>
      <c r="F472" s="5" t="s">
        <v>60</v>
      </c>
      <c r="G472" s="5" t="s">
        <v>22</v>
      </c>
      <c r="H472" s="5" t="s">
        <v>23</v>
      </c>
      <c r="I472" s="5">
        <v>266</v>
      </c>
      <c r="J472" s="5">
        <v>3180</v>
      </c>
      <c r="K472" s="5">
        <v>4457.1899999999996</v>
      </c>
      <c r="L472" s="5">
        <v>1325</v>
      </c>
      <c r="M472" s="5">
        <v>220</v>
      </c>
      <c r="N472" s="5">
        <v>8</v>
      </c>
      <c r="O472" s="5" t="s">
        <v>24</v>
      </c>
      <c r="P472" s="5">
        <v>7819</v>
      </c>
      <c r="Q472" s="5" t="s">
        <v>40</v>
      </c>
      <c r="R472" s="2">
        <v>1185612.54</v>
      </c>
      <c r="S472" s="2">
        <v>339732.54</v>
      </c>
      <c r="T472" s="1">
        <v>45666</v>
      </c>
      <c r="U472" s="5">
        <v>1</v>
      </c>
    </row>
    <row r="473" spans="1:21" x14ac:dyDescent="0.3">
      <c r="A473" s="5" t="s">
        <v>534</v>
      </c>
      <c r="B473" s="1">
        <v>45890</v>
      </c>
      <c r="C473" s="5" t="s">
        <v>42</v>
      </c>
      <c r="D473" s="5" t="s">
        <v>62</v>
      </c>
      <c r="E473" s="5" t="s">
        <v>29</v>
      </c>
      <c r="F473" s="5" t="s">
        <v>43</v>
      </c>
      <c r="G473" s="5" t="s">
        <v>31</v>
      </c>
      <c r="H473" s="5" t="s">
        <v>39</v>
      </c>
      <c r="I473" s="5">
        <v>429</v>
      </c>
      <c r="J473" s="5">
        <v>4881</v>
      </c>
      <c r="K473" s="5">
        <v>7062.41</v>
      </c>
      <c r="L473" s="5">
        <v>1710</v>
      </c>
      <c r="M473" s="5">
        <v>179</v>
      </c>
      <c r="N473" s="5">
        <v>2</v>
      </c>
      <c r="O473" s="5" t="s">
        <v>32</v>
      </c>
      <c r="P473" s="5">
        <v>7464</v>
      </c>
      <c r="Q473" s="5" t="s">
        <v>33</v>
      </c>
      <c r="R473" s="2">
        <v>3029773.89</v>
      </c>
      <c r="S473" s="2">
        <v>935824.89</v>
      </c>
      <c r="T473" s="1">
        <v>45890</v>
      </c>
      <c r="U473" s="5">
        <v>8</v>
      </c>
    </row>
    <row r="474" spans="1:21" x14ac:dyDescent="0.3">
      <c r="A474" s="5" t="s">
        <v>535</v>
      </c>
      <c r="B474" s="1">
        <v>45832</v>
      </c>
      <c r="C474" s="5" t="s">
        <v>27</v>
      </c>
      <c r="D474" s="5" t="s">
        <v>36</v>
      </c>
      <c r="E474" s="5" t="s">
        <v>49</v>
      </c>
      <c r="F474" s="5" t="s">
        <v>89</v>
      </c>
      <c r="G474" s="5" t="s">
        <v>38</v>
      </c>
      <c r="H474" s="5" t="s">
        <v>39</v>
      </c>
      <c r="I474" s="5">
        <v>200</v>
      </c>
      <c r="J474" s="5">
        <v>247</v>
      </c>
      <c r="K474" s="5">
        <v>367.97</v>
      </c>
      <c r="L474" s="5">
        <v>795</v>
      </c>
      <c r="M474" s="5">
        <v>215</v>
      </c>
      <c r="N474" s="5">
        <v>3</v>
      </c>
      <c r="O474" s="5" t="s">
        <v>32</v>
      </c>
      <c r="P474" s="5">
        <v>3606</v>
      </c>
      <c r="Q474" s="5" t="s">
        <v>33</v>
      </c>
      <c r="R474" s="2">
        <v>73594</v>
      </c>
      <c r="S474" s="2">
        <v>24194</v>
      </c>
      <c r="T474" s="1">
        <v>45832</v>
      </c>
      <c r="U474" s="5">
        <v>6</v>
      </c>
    </row>
    <row r="475" spans="1:21" x14ac:dyDescent="0.3">
      <c r="A475" s="5" t="s">
        <v>536</v>
      </c>
      <c r="B475" s="1">
        <v>45717</v>
      </c>
      <c r="C475" s="5" t="s">
        <v>27</v>
      </c>
      <c r="D475" s="5" t="s">
        <v>53</v>
      </c>
      <c r="E475" s="5" t="s">
        <v>49</v>
      </c>
      <c r="F475" s="5" t="s">
        <v>94</v>
      </c>
      <c r="G475" s="5" t="s">
        <v>22</v>
      </c>
      <c r="H475" s="5" t="s">
        <v>39</v>
      </c>
      <c r="I475" s="5">
        <v>320</v>
      </c>
      <c r="J475" s="5">
        <v>4860</v>
      </c>
      <c r="K475" s="5">
        <v>5746.35</v>
      </c>
      <c r="L475" s="5">
        <v>199</v>
      </c>
      <c r="M475" s="5">
        <v>183</v>
      </c>
      <c r="N475" s="5">
        <v>1</v>
      </c>
      <c r="O475" s="5" t="s">
        <v>32</v>
      </c>
      <c r="P475" s="5">
        <v>6405</v>
      </c>
      <c r="Q475" s="5" t="s">
        <v>25</v>
      </c>
      <c r="R475" s="2">
        <v>1838832</v>
      </c>
      <c r="S475" s="2">
        <v>283632</v>
      </c>
      <c r="T475" s="1">
        <v>45717</v>
      </c>
      <c r="U475" s="5">
        <v>3</v>
      </c>
    </row>
    <row r="476" spans="1:21" x14ac:dyDescent="0.3">
      <c r="A476" s="5" t="s">
        <v>537</v>
      </c>
      <c r="B476" s="1">
        <v>45968</v>
      </c>
      <c r="C476" s="5" t="s">
        <v>27</v>
      </c>
      <c r="D476" s="5" t="s">
        <v>53</v>
      </c>
      <c r="E476" s="5" t="s">
        <v>54</v>
      </c>
      <c r="F476" s="5" t="s">
        <v>55</v>
      </c>
      <c r="G476" s="5" t="s">
        <v>56</v>
      </c>
      <c r="H476" s="5" t="s">
        <v>51</v>
      </c>
      <c r="I476" s="5">
        <v>443</v>
      </c>
      <c r="J476" s="5">
        <v>2494</v>
      </c>
      <c r="K476" s="5">
        <v>3534.13</v>
      </c>
      <c r="L476" s="5">
        <v>173</v>
      </c>
      <c r="M476" s="5">
        <v>285</v>
      </c>
      <c r="N476" s="5">
        <v>3</v>
      </c>
      <c r="O476" s="5" t="s">
        <v>32</v>
      </c>
      <c r="P476" s="5">
        <v>2528</v>
      </c>
      <c r="Q476" s="5" t="s">
        <v>25</v>
      </c>
      <c r="R476" s="2">
        <v>1565619.59</v>
      </c>
      <c r="S476" s="2">
        <v>460777.59</v>
      </c>
      <c r="T476" s="1">
        <v>45968</v>
      </c>
      <c r="U476" s="5">
        <v>11</v>
      </c>
    </row>
    <row r="477" spans="1:21" x14ac:dyDescent="0.3">
      <c r="A477" s="5" t="s">
        <v>538</v>
      </c>
      <c r="B477" s="1">
        <v>45981</v>
      </c>
      <c r="C477" s="5" t="s">
        <v>18</v>
      </c>
      <c r="D477" s="5" t="s">
        <v>53</v>
      </c>
      <c r="E477" s="5" t="s">
        <v>54</v>
      </c>
      <c r="F477" s="5" t="s">
        <v>81</v>
      </c>
      <c r="G477" s="5" t="s">
        <v>56</v>
      </c>
      <c r="H477" s="5" t="s">
        <v>23</v>
      </c>
      <c r="I477" s="5">
        <v>46</v>
      </c>
      <c r="J477" s="5">
        <v>2949</v>
      </c>
      <c r="K477" s="5">
        <v>3667.24</v>
      </c>
      <c r="L477" s="5">
        <v>1324</v>
      </c>
      <c r="M477" s="5">
        <v>234</v>
      </c>
      <c r="N477" s="5">
        <v>2</v>
      </c>
      <c r="O477" s="5" t="s">
        <v>32</v>
      </c>
      <c r="P477" s="5">
        <v>5420</v>
      </c>
      <c r="Q477" s="5" t="s">
        <v>25</v>
      </c>
      <c r="R477" s="2">
        <v>168693.04</v>
      </c>
      <c r="S477" s="2">
        <v>33039.040000000001</v>
      </c>
      <c r="T477" s="1">
        <v>45981</v>
      </c>
      <c r="U477" s="5">
        <v>11</v>
      </c>
    </row>
    <row r="478" spans="1:21" x14ac:dyDescent="0.3">
      <c r="A478" s="5" t="s">
        <v>539</v>
      </c>
      <c r="B478" s="1">
        <v>46004</v>
      </c>
      <c r="C478" s="5" t="s">
        <v>35</v>
      </c>
      <c r="D478" s="5" t="s">
        <v>19</v>
      </c>
      <c r="E478" s="5" t="s">
        <v>54</v>
      </c>
      <c r="F478" s="5" t="s">
        <v>55</v>
      </c>
      <c r="G478" s="5" t="s">
        <v>56</v>
      </c>
      <c r="H478" s="5" t="s">
        <v>23</v>
      </c>
      <c r="I478" s="5">
        <v>78</v>
      </c>
      <c r="J478" s="5">
        <v>2640</v>
      </c>
      <c r="K478" s="5">
        <v>3569.04</v>
      </c>
      <c r="L478" s="5">
        <v>197</v>
      </c>
      <c r="M478" s="5">
        <v>151</v>
      </c>
      <c r="N478" s="5">
        <v>1</v>
      </c>
      <c r="O478" s="5" t="s">
        <v>32</v>
      </c>
      <c r="P478" s="5">
        <v>7617</v>
      </c>
      <c r="Q478" s="5" t="s">
        <v>33</v>
      </c>
      <c r="R478" s="2">
        <v>278385.12</v>
      </c>
      <c r="S478" s="2">
        <v>72465.119999999995</v>
      </c>
      <c r="T478" s="1">
        <v>46004</v>
      </c>
      <c r="U478" s="5">
        <v>12</v>
      </c>
    </row>
    <row r="479" spans="1:21" x14ac:dyDescent="0.3">
      <c r="A479" s="5" t="s">
        <v>540</v>
      </c>
      <c r="B479" s="1">
        <v>45928</v>
      </c>
      <c r="C479" s="5" t="s">
        <v>18</v>
      </c>
      <c r="D479" s="5" t="s">
        <v>28</v>
      </c>
      <c r="E479" s="5" t="s">
        <v>49</v>
      </c>
      <c r="F479" s="5" t="s">
        <v>65</v>
      </c>
      <c r="G479" s="5" t="s">
        <v>31</v>
      </c>
      <c r="H479" s="5" t="s">
        <v>23</v>
      </c>
      <c r="I479" s="5">
        <v>439</v>
      </c>
      <c r="J479" s="5">
        <v>688</v>
      </c>
      <c r="K479" s="5">
        <v>886.21</v>
      </c>
      <c r="L479" s="5">
        <v>1098</v>
      </c>
      <c r="M479" s="5">
        <v>251</v>
      </c>
      <c r="N479" s="5">
        <v>8</v>
      </c>
      <c r="O479" s="5" t="s">
        <v>24</v>
      </c>
      <c r="P479" s="5">
        <v>1112</v>
      </c>
      <c r="Q479" s="5" t="s">
        <v>40</v>
      </c>
      <c r="R479" s="2">
        <v>389046.19</v>
      </c>
      <c r="S479" s="2">
        <v>87014.19</v>
      </c>
      <c r="T479" s="1">
        <v>45928</v>
      </c>
      <c r="U479" s="5">
        <v>9</v>
      </c>
    </row>
    <row r="480" spans="1:21" x14ac:dyDescent="0.3">
      <c r="A480" s="5" t="s">
        <v>541</v>
      </c>
      <c r="B480" s="1">
        <v>45895</v>
      </c>
      <c r="C480" s="5" t="s">
        <v>42</v>
      </c>
      <c r="D480" s="5" t="s">
        <v>19</v>
      </c>
      <c r="E480" s="5" t="s">
        <v>54</v>
      </c>
      <c r="F480" s="5" t="s">
        <v>78</v>
      </c>
      <c r="G480" s="5" t="s">
        <v>56</v>
      </c>
      <c r="H480" s="5" t="s">
        <v>39</v>
      </c>
      <c r="I480" s="5">
        <v>121</v>
      </c>
      <c r="J480" s="5">
        <v>3240</v>
      </c>
      <c r="K480" s="5">
        <v>4780.71</v>
      </c>
      <c r="L480" s="5">
        <v>1066</v>
      </c>
      <c r="M480" s="5">
        <v>169</v>
      </c>
      <c r="N480" s="5">
        <v>1</v>
      </c>
      <c r="O480" s="5" t="s">
        <v>32</v>
      </c>
      <c r="P480" s="5">
        <v>1151</v>
      </c>
      <c r="Q480" s="5" t="s">
        <v>33</v>
      </c>
      <c r="R480" s="2">
        <v>578465.91</v>
      </c>
      <c r="S480" s="2">
        <v>186425.91</v>
      </c>
      <c r="T480" s="1">
        <v>45895</v>
      </c>
      <c r="U480" s="5">
        <v>8</v>
      </c>
    </row>
    <row r="481" spans="1:21" x14ac:dyDescent="0.3">
      <c r="A481" s="5" t="s">
        <v>542</v>
      </c>
      <c r="B481" s="1">
        <v>45821</v>
      </c>
      <c r="C481" s="5" t="s">
        <v>35</v>
      </c>
      <c r="D481" s="5" t="s">
        <v>53</v>
      </c>
      <c r="E481" s="5" t="s">
        <v>20</v>
      </c>
      <c r="F481" s="5" t="s">
        <v>100</v>
      </c>
      <c r="G481" s="5" t="s">
        <v>31</v>
      </c>
      <c r="H481" s="5" t="s">
        <v>51</v>
      </c>
      <c r="I481" s="5">
        <v>372</v>
      </c>
      <c r="J481" s="5">
        <v>4746</v>
      </c>
      <c r="K481" s="5">
        <v>5819.17</v>
      </c>
      <c r="L481" s="5">
        <v>670</v>
      </c>
      <c r="M481" s="5">
        <v>117</v>
      </c>
      <c r="N481" s="5">
        <v>1</v>
      </c>
      <c r="O481" s="5" t="s">
        <v>32</v>
      </c>
      <c r="P481" s="5">
        <v>6362</v>
      </c>
      <c r="Q481" s="5" t="s">
        <v>33</v>
      </c>
      <c r="R481" s="2">
        <v>2164731.2400000002</v>
      </c>
      <c r="S481" s="2">
        <v>399219.24</v>
      </c>
      <c r="T481" s="1">
        <v>45821</v>
      </c>
      <c r="U481" s="5">
        <v>6</v>
      </c>
    </row>
    <row r="482" spans="1:21" x14ac:dyDescent="0.3">
      <c r="A482" s="5" t="s">
        <v>543</v>
      </c>
      <c r="B482" s="1">
        <v>45667</v>
      </c>
      <c r="C482" s="5" t="s">
        <v>35</v>
      </c>
      <c r="D482" s="5" t="s">
        <v>53</v>
      </c>
      <c r="E482" s="5" t="s">
        <v>29</v>
      </c>
      <c r="F482" s="5" t="s">
        <v>58</v>
      </c>
      <c r="G482" s="5" t="s">
        <v>56</v>
      </c>
      <c r="H482" s="5" t="s">
        <v>51</v>
      </c>
      <c r="I482" s="5">
        <v>352</v>
      </c>
      <c r="J482" s="5">
        <v>2896</v>
      </c>
      <c r="K482" s="5">
        <v>3355.86</v>
      </c>
      <c r="L482" s="5">
        <v>1683</v>
      </c>
      <c r="M482" s="5">
        <v>284</v>
      </c>
      <c r="N482" s="5">
        <v>3</v>
      </c>
      <c r="O482" s="5" t="s">
        <v>32</v>
      </c>
      <c r="P482" s="5">
        <v>3131</v>
      </c>
      <c r="Q482" s="5" t="s">
        <v>33</v>
      </c>
      <c r="R482" s="2">
        <v>1181262.72</v>
      </c>
      <c r="S482" s="2">
        <v>161870.72</v>
      </c>
      <c r="T482" s="1">
        <v>45667</v>
      </c>
      <c r="U482" s="5">
        <v>1</v>
      </c>
    </row>
    <row r="483" spans="1:21" x14ac:dyDescent="0.3">
      <c r="A483" s="5" t="s">
        <v>544</v>
      </c>
      <c r="B483" s="1">
        <v>45700</v>
      </c>
      <c r="C483" s="5" t="s">
        <v>27</v>
      </c>
      <c r="D483" s="5" t="s">
        <v>62</v>
      </c>
      <c r="E483" s="5" t="s">
        <v>29</v>
      </c>
      <c r="F483" s="5" t="s">
        <v>43</v>
      </c>
      <c r="G483" s="5" t="s">
        <v>56</v>
      </c>
      <c r="H483" s="5" t="s">
        <v>23</v>
      </c>
      <c r="I483" s="5">
        <v>195</v>
      </c>
      <c r="J483" s="5">
        <v>3690</v>
      </c>
      <c r="K483" s="5">
        <v>5167.3999999999996</v>
      </c>
      <c r="L483" s="5">
        <v>1022</v>
      </c>
      <c r="M483" s="5">
        <v>159</v>
      </c>
      <c r="N483" s="5">
        <v>6</v>
      </c>
      <c r="O483" s="5" t="s">
        <v>24</v>
      </c>
      <c r="P483" s="5">
        <v>2167</v>
      </c>
      <c r="Q483" s="5" t="s">
        <v>46</v>
      </c>
      <c r="R483" s="2">
        <v>1007643</v>
      </c>
      <c r="S483" s="2">
        <v>288093</v>
      </c>
      <c r="T483" s="1">
        <v>45700</v>
      </c>
      <c r="U483" s="5">
        <v>2</v>
      </c>
    </row>
    <row r="484" spans="1:21" x14ac:dyDescent="0.3">
      <c r="A484" s="5" t="s">
        <v>545</v>
      </c>
      <c r="B484" s="1">
        <v>45827</v>
      </c>
      <c r="C484" s="5" t="s">
        <v>35</v>
      </c>
      <c r="D484" s="5" t="s">
        <v>36</v>
      </c>
      <c r="E484" s="5" t="s">
        <v>29</v>
      </c>
      <c r="F484" s="5" t="s">
        <v>69</v>
      </c>
      <c r="G484" s="5" t="s">
        <v>38</v>
      </c>
      <c r="H484" s="5" t="s">
        <v>39</v>
      </c>
      <c r="I484" s="5">
        <v>273</v>
      </c>
      <c r="J484" s="5">
        <v>4529</v>
      </c>
      <c r="K484" s="5">
        <v>5880.21</v>
      </c>
      <c r="L484" s="5">
        <v>1527</v>
      </c>
      <c r="M484" s="5">
        <v>216</v>
      </c>
      <c r="N484" s="5">
        <v>6</v>
      </c>
      <c r="O484" s="5" t="s">
        <v>24</v>
      </c>
      <c r="P484" s="5">
        <v>847</v>
      </c>
      <c r="Q484" s="5" t="s">
        <v>33</v>
      </c>
      <c r="R484" s="2">
        <v>1605297.33</v>
      </c>
      <c r="S484" s="2">
        <v>368880.33</v>
      </c>
      <c r="T484" s="1">
        <v>45827</v>
      </c>
      <c r="U484" s="5">
        <v>6</v>
      </c>
    </row>
    <row r="485" spans="1:21" x14ac:dyDescent="0.3">
      <c r="A485" s="5" t="s">
        <v>546</v>
      </c>
      <c r="B485" s="1">
        <v>45755</v>
      </c>
      <c r="C485" s="5" t="s">
        <v>42</v>
      </c>
      <c r="D485" s="5" t="s">
        <v>36</v>
      </c>
      <c r="E485" s="5" t="s">
        <v>54</v>
      </c>
      <c r="F485" s="5" t="s">
        <v>55</v>
      </c>
      <c r="G485" s="5" t="s">
        <v>31</v>
      </c>
      <c r="H485" s="5" t="s">
        <v>51</v>
      </c>
      <c r="I485" s="5">
        <v>310</v>
      </c>
      <c r="J485" s="5">
        <v>1404</v>
      </c>
      <c r="K485" s="5">
        <v>1779.26</v>
      </c>
      <c r="L485" s="5">
        <v>1179</v>
      </c>
      <c r="M485" s="5">
        <v>157</v>
      </c>
      <c r="N485" s="5">
        <v>1</v>
      </c>
      <c r="O485" s="5" t="s">
        <v>32</v>
      </c>
      <c r="P485" s="5">
        <v>7279</v>
      </c>
      <c r="Q485" s="5" t="s">
        <v>33</v>
      </c>
      <c r="R485" s="2">
        <v>551570.6</v>
      </c>
      <c r="S485" s="2">
        <v>116330.6</v>
      </c>
      <c r="T485" s="1">
        <v>45755</v>
      </c>
      <c r="U485" s="5">
        <v>4</v>
      </c>
    </row>
    <row r="486" spans="1:21" x14ac:dyDescent="0.3">
      <c r="A486" s="5" t="s">
        <v>547</v>
      </c>
      <c r="B486" s="1">
        <v>45921</v>
      </c>
      <c r="C486" s="5" t="s">
        <v>18</v>
      </c>
      <c r="D486" s="5" t="s">
        <v>36</v>
      </c>
      <c r="E486" s="5" t="s">
        <v>54</v>
      </c>
      <c r="F486" s="5" t="s">
        <v>63</v>
      </c>
      <c r="G486" s="5" t="s">
        <v>31</v>
      </c>
      <c r="H486" s="5" t="s">
        <v>51</v>
      </c>
      <c r="I486" s="5">
        <v>427</v>
      </c>
      <c r="J486" s="5">
        <v>265</v>
      </c>
      <c r="K486" s="5">
        <v>367.61</v>
      </c>
      <c r="L486" s="5">
        <v>1027</v>
      </c>
      <c r="M486" s="5">
        <v>145</v>
      </c>
      <c r="N486" s="5">
        <v>6</v>
      </c>
      <c r="O486" s="5" t="s">
        <v>24</v>
      </c>
      <c r="P486" s="5">
        <v>4203</v>
      </c>
      <c r="Q486" s="5" t="s">
        <v>25</v>
      </c>
      <c r="R486" s="2">
        <v>156969.47</v>
      </c>
      <c r="S486" s="2">
        <v>43814.47</v>
      </c>
      <c r="T486" s="1">
        <v>45921</v>
      </c>
      <c r="U486" s="5">
        <v>9</v>
      </c>
    </row>
    <row r="487" spans="1:21" x14ac:dyDescent="0.3">
      <c r="A487" s="5" t="s">
        <v>548</v>
      </c>
      <c r="B487" s="1">
        <v>45810</v>
      </c>
      <c r="C487" s="5" t="s">
        <v>35</v>
      </c>
      <c r="D487" s="5" t="s">
        <v>19</v>
      </c>
      <c r="E487" s="5" t="s">
        <v>49</v>
      </c>
      <c r="F487" s="5" t="s">
        <v>75</v>
      </c>
      <c r="G487" s="5" t="s">
        <v>22</v>
      </c>
      <c r="H487" s="5" t="s">
        <v>51</v>
      </c>
      <c r="I487" s="5">
        <v>347</v>
      </c>
      <c r="J487" s="5">
        <v>1838</v>
      </c>
      <c r="K487" s="5">
        <v>2344.8200000000002</v>
      </c>
      <c r="L487" s="5">
        <v>1470</v>
      </c>
      <c r="M487" s="5">
        <v>243</v>
      </c>
      <c r="N487" s="5">
        <v>9</v>
      </c>
      <c r="O487" s="5" t="s">
        <v>24</v>
      </c>
      <c r="P487" s="5">
        <v>7614</v>
      </c>
      <c r="Q487" s="5" t="s">
        <v>40</v>
      </c>
      <c r="R487" s="2">
        <v>813652.54</v>
      </c>
      <c r="S487" s="2">
        <v>175866.54</v>
      </c>
      <c r="T487" s="1">
        <v>45810</v>
      </c>
      <c r="U487" s="5">
        <v>6</v>
      </c>
    </row>
    <row r="488" spans="1:21" x14ac:dyDescent="0.3">
      <c r="A488" s="5" t="s">
        <v>549</v>
      </c>
      <c r="B488" s="1">
        <v>45941</v>
      </c>
      <c r="C488" s="5" t="s">
        <v>18</v>
      </c>
      <c r="D488" s="5" t="s">
        <v>19</v>
      </c>
      <c r="E488" s="5" t="s">
        <v>29</v>
      </c>
      <c r="F488" s="5" t="s">
        <v>58</v>
      </c>
      <c r="G488" s="5" t="s">
        <v>31</v>
      </c>
      <c r="H488" s="5" t="s">
        <v>51</v>
      </c>
      <c r="I488" s="5">
        <v>236</v>
      </c>
      <c r="J488" s="5">
        <v>2782</v>
      </c>
      <c r="K488" s="5">
        <v>3555.62</v>
      </c>
      <c r="L488" s="5">
        <v>1835</v>
      </c>
      <c r="M488" s="5">
        <v>194</v>
      </c>
      <c r="N488" s="5">
        <v>8</v>
      </c>
      <c r="O488" s="5" t="s">
        <v>24</v>
      </c>
      <c r="P488" s="5">
        <v>5400</v>
      </c>
      <c r="Q488" s="5" t="s">
        <v>40</v>
      </c>
      <c r="R488" s="2">
        <v>839126.32</v>
      </c>
      <c r="S488" s="2">
        <v>182574.32</v>
      </c>
      <c r="T488" s="1">
        <v>45941</v>
      </c>
      <c r="U488" s="5">
        <v>10</v>
      </c>
    </row>
    <row r="489" spans="1:21" x14ac:dyDescent="0.3">
      <c r="A489" s="5" t="s">
        <v>550</v>
      </c>
      <c r="B489" s="1">
        <v>45849</v>
      </c>
      <c r="C489" s="5" t="s">
        <v>27</v>
      </c>
      <c r="D489" s="5" t="s">
        <v>28</v>
      </c>
      <c r="E489" s="5" t="s">
        <v>20</v>
      </c>
      <c r="F489" s="5" t="s">
        <v>45</v>
      </c>
      <c r="G489" s="5" t="s">
        <v>56</v>
      </c>
      <c r="H489" s="5" t="s">
        <v>39</v>
      </c>
      <c r="I489" s="5">
        <v>60</v>
      </c>
      <c r="J489" s="5">
        <v>440</v>
      </c>
      <c r="K489" s="5">
        <v>624.14</v>
      </c>
      <c r="L489" s="5">
        <v>1032</v>
      </c>
      <c r="M489" s="5">
        <v>277</v>
      </c>
      <c r="N489" s="5">
        <v>6</v>
      </c>
      <c r="O489" s="5" t="s">
        <v>24</v>
      </c>
      <c r="P489" s="5">
        <v>4794</v>
      </c>
      <c r="Q489" s="5" t="s">
        <v>40</v>
      </c>
      <c r="R489" s="2">
        <v>37448.400000000001</v>
      </c>
      <c r="S489" s="2">
        <v>11048.4</v>
      </c>
      <c r="T489" s="1">
        <v>45849</v>
      </c>
      <c r="U489" s="5">
        <v>7</v>
      </c>
    </row>
    <row r="490" spans="1:21" x14ac:dyDescent="0.3">
      <c r="A490" s="5" t="s">
        <v>551</v>
      </c>
      <c r="B490" s="1">
        <v>45844</v>
      </c>
      <c r="C490" s="5" t="s">
        <v>35</v>
      </c>
      <c r="D490" s="5" t="s">
        <v>28</v>
      </c>
      <c r="E490" s="5" t="s">
        <v>20</v>
      </c>
      <c r="F490" s="5" t="s">
        <v>21</v>
      </c>
      <c r="G490" s="5" t="s">
        <v>38</v>
      </c>
      <c r="H490" s="5" t="s">
        <v>23</v>
      </c>
      <c r="I490" s="5">
        <v>437</v>
      </c>
      <c r="J490" s="5">
        <v>4820</v>
      </c>
      <c r="K490" s="5">
        <v>5996.71</v>
      </c>
      <c r="L490" s="5">
        <v>322</v>
      </c>
      <c r="M490" s="5">
        <v>296</v>
      </c>
      <c r="N490" s="5">
        <v>5</v>
      </c>
      <c r="O490" s="5" t="s">
        <v>32</v>
      </c>
      <c r="P490" s="5">
        <v>5790</v>
      </c>
      <c r="Q490" s="5" t="s">
        <v>25</v>
      </c>
      <c r="R490" s="2">
        <v>2620562.27</v>
      </c>
      <c r="S490" s="2">
        <v>514222.27</v>
      </c>
      <c r="T490" s="1">
        <v>45844</v>
      </c>
      <c r="U490" s="5">
        <v>7</v>
      </c>
    </row>
    <row r="491" spans="1:21" x14ac:dyDescent="0.3">
      <c r="A491" s="5" t="s">
        <v>552</v>
      </c>
      <c r="B491" s="1">
        <v>45730</v>
      </c>
      <c r="C491" s="5" t="s">
        <v>27</v>
      </c>
      <c r="D491" s="5" t="s">
        <v>62</v>
      </c>
      <c r="E491" s="5" t="s">
        <v>54</v>
      </c>
      <c r="F491" s="5" t="s">
        <v>55</v>
      </c>
      <c r="G491" s="5" t="s">
        <v>56</v>
      </c>
      <c r="H491" s="5" t="s">
        <v>51</v>
      </c>
      <c r="I491" s="5">
        <v>441</v>
      </c>
      <c r="J491" s="5">
        <v>2413</v>
      </c>
      <c r="K491" s="5">
        <v>3185.98</v>
      </c>
      <c r="L491" s="5">
        <v>862</v>
      </c>
      <c r="M491" s="5">
        <v>183</v>
      </c>
      <c r="N491" s="5">
        <v>7</v>
      </c>
      <c r="O491" s="5" t="s">
        <v>24</v>
      </c>
      <c r="P491" s="5">
        <v>522</v>
      </c>
      <c r="Q491" s="5" t="s">
        <v>25</v>
      </c>
      <c r="R491" s="2">
        <v>1405017.18</v>
      </c>
      <c r="S491" s="2">
        <v>340884.18</v>
      </c>
      <c r="T491" s="1">
        <v>45730</v>
      </c>
      <c r="U491" s="5">
        <v>3</v>
      </c>
    </row>
    <row r="492" spans="1:21" x14ac:dyDescent="0.3">
      <c r="A492" s="5" t="s">
        <v>553</v>
      </c>
      <c r="B492" s="1">
        <v>45835</v>
      </c>
      <c r="C492" s="5" t="s">
        <v>27</v>
      </c>
      <c r="D492" s="5" t="s">
        <v>53</v>
      </c>
      <c r="E492" s="5" t="s">
        <v>29</v>
      </c>
      <c r="F492" s="5" t="s">
        <v>73</v>
      </c>
      <c r="G492" s="5" t="s">
        <v>31</v>
      </c>
      <c r="H492" s="5" t="s">
        <v>23</v>
      </c>
      <c r="I492" s="5">
        <v>211</v>
      </c>
      <c r="J492" s="5">
        <v>2480</v>
      </c>
      <c r="K492" s="5">
        <v>3598.38</v>
      </c>
      <c r="L492" s="5">
        <v>158</v>
      </c>
      <c r="M492" s="5">
        <v>183</v>
      </c>
      <c r="N492" s="5">
        <v>8</v>
      </c>
      <c r="O492" s="5" t="s">
        <v>24</v>
      </c>
      <c r="P492" s="5">
        <v>5959</v>
      </c>
      <c r="Q492" s="5" t="s">
        <v>25</v>
      </c>
      <c r="R492" s="2">
        <v>759258.18</v>
      </c>
      <c r="S492" s="2">
        <v>235978.18</v>
      </c>
      <c r="T492" s="1">
        <v>45835</v>
      </c>
      <c r="U492" s="5">
        <v>6</v>
      </c>
    </row>
    <row r="493" spans="1:21" x14ac:dyDescent="0.3">
      <c r="A493" s="5" t="s">
        <v>554</v>
      </c>
      <c r="B493" s="1">
        <v>45856</v>
      </c>
      <c r="C493" s="5" t="s">
        <v>35</v>
      </c>
      <c r="D493" s="5" t="s">
        <v>28</v>
      </c>
      <c r="E493" s="5" t="s">
        <v>20</v>
      </c>
      <c r="F493" s="5" t="s">
        <v>60</v>
      </c>
      <c r="G493" s="5" t="s">
        <v>38</v>
      </c>
      <c r="H493" s="5" t="s">
        <v>51</v>
      </c>
      <c r="I493" s="5">
        <v>394</v>
      </c>
      <c r="J493" s="5">
        <v>2925</v>
      </c>
      <c r="K493" s="5">
        <v>3370.82</v>
      </c>
      <c r="L493" s="5">
        <v>1511</v>
      </c>
      <c r="M493" s="5">
        <v>214</v>
      </c>
      <c r="N493" s="5">
        <v>6</v>
      </c>
      <c r="O493" s="5" t="s">
        <v>24</v>
      </c>
      <c r="P493" s="5">
        <v>658</v>
      </c>
      <c r="Q493" s="5" t="s">
        <v>25</v>
      </c>
      <c r="R493" s="2">
        <v>1328103.08</v>
      </c>
      <c r="S493" s="2">
        <v>175653.08</v>
      </c>
      <c r="T493" s="1">
        <v>45856</v>
      </c>
      <c r="U493" s="5">
        <v>7</v>
      </c>
    </row>
    <row r="494" spans="1:21" x14ac:dyDescent="0.3">
      <c r="A494" s="5" t="s">
        <v>555</v>
      </c>
      <c r="B494" s="1">
        <v>45804</v>
      </c>
      <c r="C494" s="5" t="s">
        <v>18</v>
      </c>
      <c r="D494" s="5" t="s">
        <v>53</v>
      </c>
      <c r="E494" s="5" t="s">
        <v>54</v>
      </c>
      <c r="F494" s="5" t="s">
        <v>78</v>
      </c>
      <c r="G494" s="5" t="s">
        <v>22</v>
      </c>
      <c r="H494" s="5" t="s">
        <v>51</v>
      </c>
      <c r="I494" s="5">
        <v>111</v>
      </c>
      <c r="J494" s="5">
        <v>3574</v>
      </c>
      <c r="K494" s="5">
        <v>4378.34</v>
      </c>
      <c r="L494" s="5">
        <v>340</v>
      </c>
      <c r="M494" s="5">
        <v>215</v>
      </c>
      <c r="N494" s="5">
        <v>4</v>
      </c>
      <c r="O494" s="5" t="s">
        <v>32</v>
      </c>
      <c r="P494" s="5">
        <v>5922</v>
      </c>
      <c r="Q494" s="5" t="s">
        <v>33</v>
      </c>
      <c r="R494" s="2">
        <v>485995.74</v>
      </c>
      <c r="S494" s="2">
        <v>89281.74</v>
      </c>
      <c r="T494" s="1">
        <v>45804</v>
      </c>
      <c r="U494" s="5">
        <v>5</v>
      </c>
    </row>
    <row r="495" spans="1:21" x14ac:dyDescent="0.3">
      <c r="A495" s="5" t="s">
        <v>556</v>
      </c>
      <c r="B495" s="1">
        <v>45694</v>
      </c>
      <c r="C495" s="5" t="s">
        <v>42</v>
      </c>
      <c r="D495" s="5" t="s">
        <v>19</v>
      </c>
      <c r="E495" s="5" t="s">
        <v>20</v>
      </c>
      <c r="F495" s="5" t="s">
        <v>100</v>
      </c>
      <c r="G495" s="5" t="s">
        <v>38</v>
      </c>
      <c r="H495" s="5" t="s">
        <v>23</v>
      </c>
      <c r="I495" s="5">
        <v>326</v>
      </c>
      <c r="J495" s="5">
        <v>4749</v>
      </c>
      <c r="K495" s="5">
        <v>6817.98</v>
      </c>
      <c r="L495" s="5">
        <v>887</v>
      </c>
      <c r="M495" s="5">
        <v>109</v>
      </c>
      <c r="N495" s="5">
        <v>8</v>
      </c>
      <c r="O495" s="5" t="s">
        <v>24</v>
      </c>
      <c r="P495" s="5">
        <v>7295</v>
      </c>
      <c r="Q495" s="5" t="s">
        <v>33</v>
      </c>
      <c r="R495" s="2">
        <v>2222661.48</v>
      </c>
      <c r="S495" s="2">
        <v>674487.48</v>
      </c>
      <c r="T495" s="1">
        <v>45694</v>
      </c>
      <c r="U495" s="5">
        <v>2</v>
      </c>
    </row>
    <row r="496" spans="1:21" x14ac:dyDescent="0.3">
      <c r="A496" s="5" t="s">
        <v>557</v>
      </c>
      <c r="B496" s="1">
        <v>45912</v>
      </c>
      <c r="C496" s="5" t="s">
        <v>27</v>
      </c>
      <c r="D496" s="5" t="s">
        <v>53</v>
      </c>
      <c r="E496" s="5" t="s">
        <v>29</v>
      </c>
      <c r="F496" s="5" t="s">
        <v>69</v>
      </c>
      <c r="G496" s="5" t="s">
        <v>56</v>
      </c>
      <c r="H496" s="5" t="s">
        <v>51</v>
      </c>
      <c r="I496" s="5">
        <v>449</v>
      </c>
      <c r="J496" s="5">
        <v>3696</v>
      </c>
      <c r="K496" s="5">
        <v>4336.79</v>
      </c>
      <c r="L496" s="5">
        <v>1554</v>
      </c>
      <c r="M496" s="5">
        <v>175</v>
      </c>
      <c r="N496" s="5">
        <v>5</v>
      </c>
      <c r="O496" s="5" t="s">
        <v>32</v>
      </c>
      <c r="P496" s="5">
        <v>3766</v>
      </c>
      <c r="Q496" s="5" t="s">
        <v>33</v>
      </c>
      <c r="R496" s="2">
        <v>1947218.71</v>
      </c>
      <c r="S496" s="2">
        <v>287714.71000000002</v>
      </c>
      <c r="T496" s="1">
        <v>45912</v>
      </c>
      <c r="U496" s="5">
        <v>9</v>
      </c>
    </row>
    <row r="497" spans="1:21" x14ac:dyDescent="0.3">
      <c r="A497" s="5" t="s">
        <v>558</v>
      </c>
      <c r="B497" s="1">
        <v>45956</v>
      </c>
      <c r="C497" s="5" t="s">
        <v>42</v>
      </c>
      <c r="D497" s="5" t="s">
        <v>53</v>
      </c>
      <c r="E497" s="5" t="s">
        <v>54</v>
      </c>
      <c r="F497" s="5" t="s">
        <v>63</v>
      </c>
      <c r="G497" s="5" t="s">
        <v>38</v>
      </c>
      <c r="H497" s="5" t="s">
        <v>23</v>
      </c>
      <c r="I497" s="5">
        <v>223</v>
      </c>
      <c r="J497" s="5">
        <v>3459</v>
      </c>
      <c r="K497" s="5">
        <v>4584.3999999999996</v>
      </c>
      <c r="L497" s="5">
        <v>1123</v>
      </c>
      <c r="M497" s="5">
        <v>188</v>
      </c>
      <c r="N497" s="5">
        <v>10</v>
      </c>
      <c r="O497" s="5" t="s">
        <v>24</v>
      </c>
      <c r="P497" s="5">
        <v>6137</v>
      </c>
      <c r="Q497" s="5" t="s">
        <v>40</v>
      </c>
      <c r="R497" s="2">
        <v>1022321.2</v>
      </c>
      <c r="S497" s="2">
        <v>250964.2</v>
      </c>
      <c r="T497" s="1">
        <v>45956</v>
      </c>
      <c r="U497" s="5">
        <v>10</v>
      </c>
    </row>
    <row r="498" spans="1:21" x14ac:dyDescent="0.3">
      <c r="A498" s="5" t="s">
        <v>559</v>
      </c>
      <c r="B498" s="1">
        <v>45832</v>
      </c>
      <c r="C498" s="5" t="s">
        <v>27</v>
      </c>
      <c r="D498" s="5" t="s">
        <v>28</v>
      </c>
      <c r="E498" s="5" t="s">
        <v>29</v>
      </c>
      <c r="F498" s="5" t="s">
        <v>58</v>
      </c>
      <c r="G498" s="5" t="s">
        <v>22</v>
      </c>
      <c r="H498" s="5" t="s">
        <v>51</v>
      </c>
      <c r="I498" s="5">
        <v>389</v>
      </c>
      <c r="J498" s="5">
        <v>2894</v>
      </c>
      <c r="K498" s="5">
        <v>3434.6</v>
      </c>
      <c r="L498" s="5">
        <v>1357</v>
      </c>
      <c r="M498" s="5">
        <v>181</v>
      </c>
      <c r="N498" s="5">
        <v>3</v>
      </c>
      <c r="O498" s="5" t="s">
        <v>32</v>
      </c>
      <c r="P498" s="5">
        <v>4179</v>
      </c>
      <c r="Q498" s="5" t="s">
        <v>33</v>
      </c>
      <c r="R498" s="2">
        <v>1336059.3999999999</v>
      </c>
      <c r="S498" s="2">
        <v>210293.4</v>
      </c>
      <c r="T498" s="1">
        <v>45832</v>
      </c>
      <c r="U498" s="5">
        <v>6</v>
      </c>
    </row>
    <row r="499" spans="1:21" x14ac:dyDescent="0.3">
      <c r="A499" s="5" t="s">
        <v>560</v>
      </c>
      <c r="B499" s="1">
        <v>45796</v>
      </c>
      <c r="C499" s="5" t="s">
        <v>42</v>
      </c>
      <c r="D499" s="5" t="s">
        <v>19</v>
      </c>
      <c r="E499" s="5" t="s">
        <v>54</v>
      </c>
      <c r="F499" s="5" t="s">
        <v>63</v>
      </c>
      <c r="G499" s="5" t="s">
        <v>38</v>
      </c>
      <c r="H499" s="5" t="s">
        <v>23</v>
      </c>
      <c r="I499" s="5">
        <v>366</v>
      </c>
      <c r="J499" s="5">
        <v>3267</v>
      </c>
      <c r="K499" s="5">
        <v>4633.51</v>
      </c>
      <c r="L499" s="5">
        <v>1094</v>
      </c>
      <c r="M499" s="5">
        <v>194</v>
      </c>
      <c r="N499" s="5">
        <v>5</v>
      </c>
      <c r="O499" s="5" t="s">
        <v>32</v>
      </c>
      <c r="P499" s="5">
        <v>2014</v>
      </c>
      <c r="Q499" s="5" t="s">
        <v>33</v>
      </c>
      <c r="R499" s="2">
        <v>1695864.66</v>
      </c>
      <c r="S499" s="2">
        <v>500142.66</v>
      </c>
      <c r="T499" s="1">
        <v>45796</v>
      </c>
      <c r="U499" s="5">
        <v>5</v>
      </c>
    </row>
    <row r="500" spans="1:21" x14ac:dyDescent="0.3">
      <c r="A500" s="5" t="s">
        <v>561</v>
      </c>
      <c r="B500" s="1">
        <v>45816</v>
      </c>
      <c r="C500" s="5" t="s">
        <v>27</v>
      </c>
      <c r="D500" s="5" t="s">
        <v>62</v>
      </c>
      <c r="E500" s="5" t="s">
        <v>20</v>
      </c>
      <c r="F500" s="5" t="s">
        <v>100</v>
      </c>
      <c r="G500" s="5" t="s">
        <v>56</v>
      </c>
      <c r="H500" s="5" t="s">
        <v>23</v>
      </c>
      <c r="I500" s="5">
        <v>212</v>
      </c>
      <c r="J500" s="5">
        <v>1134</v>
      </c>
      <c r="K500" s="5">
        <v>1619.43</v>
      </c>
      <c r="L500" s="5">
        <v>1253</v>
      </c>
      <c r="M500" s="5">
        <v>226</v>
      </c>
      <c r="N500" s="5">
        <v>8</v>
      </c>
      <c r="O500" s="5" t="s">
        <v>24</v>
      </c>
      <c r="P500" s="5">
        <v>362</v>
      </c>
      <c r="Q500" s="5" t="s">
        <v>40</v>
      </c>
      <c r="R500" s="2">
        <v>343319.16</v>
      </c>
      <c r="S500" s="2">
        <v>102911.16</v>
      </c>
      <c r="T500" s="1">
        <v>45816</v>
      </c>
      <c r="U500" s="5">
        <v>6</v>
      </c>
    </row>
    <row r="501" spans="1:21" x14ac:dyDescent="0.3">
      <c r="A501" s="5" t="s">
        <v>562</v>
      </c>
      <c r="B501" s="1">
        <v>45660</v>
      </c>
      <c r="C501" s="5" t="s">
        <v>18</v>
      </c>
      <c r="D501" s="5" t="s">
        <v>28</v>
      </c>
      <c r="E501" s="5" t="s">
        <v>20</v>
      </c>
      <c r="F501" s="5" t="s">
        <v>21</v>
      </c>
      <c r="G501" s="5" t="s">
        <v>38</v>
      </c>
      <c r="H501" s="5" t="s">
        <v>51</v>
      </c>
      <c r="I501" s="5">
        <v>500</v>
      </c>
      <c r="J501" s="5">
        <v>1105</v>
      </c>
      <c r="K501" s="5">
        <v>1575.04</v>
      </c>
      <c r="L501" s="5">
        <v>1278</v>
      </c>
      <c r="M501" s="5">
        <v>193</v>
      </c>
      <c r="N501" s="5">
        <v>3</v>
      </c>
      <c r="O501" s="5" t="s">
        <v>32</v>
      </c>
      <c r="P501" s="5">
        <v>2759</v>
      </c>
      <c r="Q501" s="5" t="s">
        <v>33</v>
      </c>
      <c r="R501" s="2">
        <v>787520</v>
      </c>
      <c r="S501" s="2">
        <v>235020</v>
      </c>
      <c r="T501" s="1">
        <v>45660</v>
      </c>
      <c r="U501" s="5">
        <v>1</v>
      </c>
    </row>
    <row r="502" spans="1:21" x14ac:dyDescent="0.3">
      <c r="A502" s="5" t="s">
        <v>563</v>
      </c>
      <c r="B502" s="1">
        <v>45978</v>
      </c>
      <c r="C502" s="5" t="s">
        <v>35</v>
      </c>
      <c r="D502" s="5" t="s">
        <v>28</v>
      </c>
      <c r="E502" s="5" t="s">
        <v>54</v>
      </c>
      <c r="F502" s="5" t="s">
        <v>63</v>
      </c>
      <c r="G502" s="5" t="s">
        <v>31</v>
      </c>
      <c r="H502" s="5" t="s">
        <v>23</v>
      </c>
      <c r="I502" s="5">
        <v>307</v>
      </c>
      <c r="J502" s="5">
        <v>292</v>
      </c>
      <c r="K502" s="5">
        <v>374.34</v>
      </c>
      <c r="L502" s="5">
        <v>1849</v>
      </c>
      <c r="M502" s="5">
        <v>104</v>
      </c>
      <c r="N502" s="5">
        <v>8</v>
      </c>
      <c r="O502" s="5" t="s">
        <v>24</v>
      </c>
      <c r="P502" s="5">
        <v>6009</v>
      </c>
      <c r="Q502" s="5" t="s">
        <v>40</v>
      </c>
      <c r="R502" s="2">
        <v>114922.38</v>
      </c>
      <c r="S502" s="2">
        <v>25278.38</v>
      </c>
      <c r="T502" s="1">
        <v>45978</v>
      </c>
      <c r="U502" s="5">
        <v>11</v>
      </c>
    </row>
    <row r="503" spans="1:21" x14ac:dyDescent="0.3">
      <c r="A503" s="5" t="s">
        <v>564</v>
      </c>
      <c r="B503" s="1">
        <v>45662</v>
      </c>
      <c r="C503" s="5" t="s">
        <v>35</v>
      </c>
      <c r="D503" s="5" t="s">
        <v>36</v>
      </c>
      <c r="E503" s="5" t="s">
        <v>54</v>
      </c>
      <c r="F503" s="5" t="s">
        <v>78</v>
      </c>
      <c r="G503" s="5" t="s">
        <v>38</v>
      </c>
      <c r="H503" s="5" t="s">
        <v>39</v>
      </c>
      <c r="I503" s="5">
        <v>97</v>
      </c>
      <c r="J503" s="5">
        <v>2355</v>
      </c>
      <c r="K503" s="5">
        <v>2709.08</v>
      </c>
      <c r="L503" s="5">
        <v>949</v>
      </c>
      <c r="M503" s="5">
        <v>260</v>
      </c>
      <c r="N503" s="5">
        <v>2</v>
      </c>
      <c r="O503" s="5" t="s">
        <v>32</v>
      </c>
      <c r="P503" s="5">
        <v>4050</v>
      </c>
      <c r="Q503" s="5" t="s">
        <v>33</v>
      </c>
      <c r="R503" s="2">
        <v>262780.76</v>
      </c>
      <c r="S503" s="2">
        <v>34345.760000000002</v>
      </c>
      <c r="T503" s="1">
        <v>45662</v>
      </c>
      <c r="U503" s="5">
        <v>1</v>
      </c>
    </row>
    <row r="504" spans="1:21" x14ac:dyDescent="0.3">
      <c r="A504" s="5" t="s">
        <v>565</v>
      </c>
      <c r="B504" s="1">
        <v>45776</v>
      </c>
      <c r="C504" s="5" t="s">
        <v>42</v>
      </c>
      <c r="D504" s="5" t="s">
        <v>62</v>
      </c>
      <c r="E504" s="5" t="s">
        <v>49</v>
      </c>
      <c r="F504" s="5" t="s">
        <v>75</v>
      </c>
      <c r="G504" s="5" t="s">
        <v>31</v>
      </c>
      <c r="H504" s="5" t="s">
        <v>39</v>
      </c>
      <c r="I504" s="5">
        <v>10</v>
      </c>
      <c r="J504" s="5">
        <v>4391</v>
      </c>
      <c r="K504" s="5">
        <v>5160.25</v>
      </c>
      <c r="L504" s="5">
        <v>1888</v>
      </c>
      <c r="M504" s="5">
        <v>187</v>
      </c>
      <c r="N504" s="5">
        <v>10</v>
      </c>
      <c r="O504" s="5" t="s">
        <v>24</v>
      </c>
      <c r="P504" s="5">
        <v>5457</v>
      </c>
      <c r="Q504" s="5" t="s">
        <v>33</v>
      </c>
      <c r="R504" s="2">
        <v>51602.5</v>
      </c>
      <c r="S504" s="2">
        <v>7692.5</v>
      </c>
      <c r="T504" s="1">
        <v>45776</v>
      </c>
      <c r="U504" s="5">
        <v>4</v>
      </c>
    </row>
    <row r="505" spans="1:21" x14ac:dyDescent="0.3">
      <c r="A505" s="5" t="s">
        <v>566</v>
      </c>
      <c r="B505" s="1">
        <v>45707</v>
      </c>
      <c r="C505" s="5" t="s">
        <v>18</v>
      </c>
      <c r="D505" s="5" t="s">
        <v>53</v>
      </c>
      <c r="E505" s="5" t="s">
        <v>29</v>
      </c>
      <c r="F505" s="5" t="s">
        <v>58</v>
      </c>
      <c r="G505" s="5" t="s">
        <v>22</v>
      </c>
      <c r="H505" s="5" t="s">
        <v>51</v>
      </c>
      <c r="I505" s="5">
        <v>80</v>
      </c>
      <c r="J505" s="5">
        <v>4355</v>
      </c>
      <c r="K505" s="5">
        <v>6431.87</v>
      </c>
      <c r="L505" s="5">
        <v>1538</v>
      </c>
      <c r="M505" s="5">
        <v>150</v>
      </c>
      <c r="N505" s="5">
        <v>10</v>
      </c>
      <c r="O505" s="5" t="s">
        <v>24</v>
      </c>
      <c r="P505" s="5">
        <v>6017</v>
      </c>
      <c r="Q505" s="5" t="s">
        <v>25</v>
      </c>
      <c r="R505" s="2">
        <v>514549.6</v>
      </c>
      <c r="S505" s="2">
        <v>166149.6</v>
      </c>
      <c r="T505" s="1">
        <v>45707</v>
      </c>
      <c r="U505" s="5">
        <v>2</v>
      </c>
    </row>
    <row r="506" spans="1:21" x14ac:dyDescent="0.3">
      <c r="A506" s="5" t="s">
        <v>567</v>
      </c>
      <c r="B506" s="1">
        <v>45828</v>
      </c>
      <c r="C506" s="5" t="s">
        <v>35</v>
      </c>
      <c r="D506" s="5" t="s">
        <v>53</v>
      </c>
      <c r="E506" s="5" t="s">
        <v>54</v>
      </c>
      <c r="F506" s="5" t="s">
        <v>81</v>
      </c>
      <c r="G506" s="5" t="s">
        <v>31</v>
      </c>
      <c r="H506" s="5" t="s">
        <v>39</v>
      </c>
      <c r="I506" s="5">
        <v>300</v>
      </c>
      <c r="J506" s="5">
        <v>935</v>
      </c>
      <c r="K506" s="5">
        <v>1121.93</v>
      </c>
      <c r="L506" s="5">
        <v>1699</v>
      </c>
      <c r="M506" s="5">
        <v>162</v>
      </c>
      <c r="N506" s="5">
        <v>6</v>
      </c>
      <c r="O506" s="5" t="s">
        <v>24</v>
      </c>
      <c r="P506" s="5">
        <v>3331</v>
      </c>
      <c r="Q506" s="5" t="s">
        <v>40</v>
      </c>
      <c r="R506" s="2">
        <v>336579</v>
      </c>
      <c r="S506" s="2">
        <v>56079</v>
      </c>
      <c r="T506" s="1">
        <v>45828</v>
      </c>
      <c r="U506" s="5">
        <v>6</v>
      </c>
    </row>
    <row r="507" spans="1:21" x14ac:dyDescent="0.3">
      <c r="A507" s="5" t="s">
        <v>568</v>
      </c>
      <c r="B507" s="1">
        <v>45711</v>
      </c>
      <c r="C507" s="5" t="s">
        <v>27</v>
      </c>
      <c r="D507" s="5" t="s">
        <v>62</v>
      </c>
      <c r="E507" s="5" t="s">
        <v>54</v>
      </c>
      <c r="F507" s="5" t="s">
        <v>55</v>
      </c>
      <c r="G507" s="5" t="s">
        <v>56</v>
      </c>
      <c r="H507" s="5" t="s">
        <v>39</v>
      </c>
      <c r="I507" s="5">
        <v>462</v>
      </c>
      <c r="J507" s="5">
        <v>759</v>
      </c>
      <c r="K507" s="5">
        <v>891.32</v>
      </c>
      <c r="L507" s="5">
        <v>1950</v>
      </c>
      <c r="M507" s="5">
        <v>115</v>
      </c>
      <c r="N507" s="5">
        <v>10</v>
      </c>
      <c r="O507" s="5" t="s">
        <v>24</v>
      </c>
      <c r="P507" s="5">
        <v>582</v>
      </c>
      <c r="Q507" s="5" t="s">
        <v>46</v>
      </c>
      <c r="R507" s="2">
        <v>411789.84</v>
      </c>
      <c r="S507" s="2">
        <v>61131.839999999997</v>
      </c>
      <c r="T507" s="1">
        <v>45711</v>
      </c>
      <c r="U507" s="5">
        <v>2</v>
      </c>
    </row>
    <row r="508" spans="1:21" x14ac:dyDescent="0.3">
      <c r="A508" s="5" t="s">
        <v>569</v>
      </c>
      <c r="B508" s="1">
        <v>45718</v>
      </c>
      <c r="C508" s="5" t="s">
        <v>18</v>
      </c>
      <c r="D508" s="5" t="s">
        <v>19</v>
      </c>
      <c r="E508" s="5" t="s">
        <v>54</v>
      </c>
      <c r="F508" s="5" t="s">
        <v>63</v>
      </c>
      <c r="G508" s="5" t="s">
        <v>56</v>
      </c>
      <c r="H508" s="5" t="s">
        <v>51</v>
      </c>
      <c r="I508" s="5">
        <v>65</v>
      </c>
      <c r="J508" s="5">
        <v>2938</v>
      </c>
      <c r="K508" s="5">
        <v>3672.72</v>
      </c>
      <c r="L508" s="5">
        <v>1729</v>
      </c>
      <c r="M508" s="5">
        <v>239</v>
      </c>
      <c r="N508" s="5">
        <v>8</v>
      </c>
      <c r="O508" s="5" t="s">
        <v>24</v>
      </c>
      <c r="P508" s="5">
        <v>584</v>
      </c>
      <c r="Q508" s="5" t="s">
        <v>40</v>
      </c>
      <c r="R508" s="2">
        <v>238726.8</v>
      </c>
      <c r="S508" s="2">
        <v>47756.800000000003</v>
      </c>
      <c r="T508" s="1">
        <v>45718</v>
      </c>
      <c r="U508" s="5">
        <v>3</v>
      </c>
    </row>
    <row r="509" spans="1:21" x14ac:dyDescent="0.3">
      <c r="A509" s="5" t="s">
        <v>570</v>
      </c>
      <c r="B509" s="1">
        <v>45898</v>
      </c>
      <c r="C509" s="5" t="s">
        <v>35</v>
      </c>
      <c r="D509" s="5" t="s">
        <v>62</v>
      </c>
      <c r="E509" s="5" t="s">
        <v>20</v>
      </c>
      <c r="F509" s="5" t="s">
        <v>37</v>
      </c>
      <c r="G509" s="5" t="s">
        <v>22</v>
      </c>
      <c r="H509" s="5" t="s">
        <v>39</v>
      </c>
      <c r="I509" s="5">
        <v>468</v>
      </c>
      <c r="J509" s="5">
        <v>1872</v>
      </c>
      <c r="K509" s="5">
        <v>2155.15</v>
      </c>
      <c r="L509" s="5">
        <v>1426</v>
      </c>
      <c r="M509" s="5">
        <v>95</v>
      </c>
      <c r="N509" s="5">
        <v>5</v>
      </c>
      <c r="O509" s="5" t="s">
        <v>32</v>
      </c>
      <c r="P509" s="5">
        <v>6136</v>
      </c>
      <c r="Q509" s="5" t="s">
        <v>33</v>
      </c>
      <c r="R509" s="2">
        <v>1008610.2</v>
      </c>
      <c r="S509" s="2">
        <v>132514.20000000001</v>
      </c>
      <c r="T509" s="1">
        <v>45898</v>
      </c>
      <c r="U509" s="5">
        <v>8</v>
      </c>
    </row>
    <row r="510" spans="1:21" x14ac:dyDescent="0.3">
      <c r="A510" s="5" t="s">
        <v>571</v>
      </c>
      <c r="B510" s="1">
        <v>45927</v>
      </c>
      <c r="C510" s="5" t="s">
        <v>18</v>
      </c>
      <c r="D510" s="5" t="s">
        <v>62</v>
      </c>
      <c r="E510" s="5" t="s">
        <v>49</v>
      </c>
      <c r="F510" s="5" t="s">
        <v>75</v>
      </c>
      <c r="G510" s="5" t="s">
        <v>56</v>
      </c>
      <c r="H510" s="5" t="s">
        <v>23</v>
      </c>
      <c r="I510" s="5">
        <v>201</v>
      </c>
      <c r="J510" s="5">
        <v>1490</v>
      </c>
      <c r="K510" s="5">
        <v>1962.41</v>
      </c>
      <c r="L510" s="5">
        <v>378</v>
      </c>
      <c r="M510" s="5">
        <v>272</v>
      </c>
      <c r="N510" s="5">
        <v>5</v>
      </c>
      <c r="O510" s="5" t="s">
        <v>32</v>
      </c>
      <c r="P510" s="5">
        <v>3831</v>
      </c>
      <c r="Q510" s="5" t="s">
        <v>33</v>
      </c>
      <c r="R510" s="2">
        <v>394444.41</v>
      </c>
      <c r="S510" s="2">
        <v>94954.41</v>
      </c>
      <c r="T510" s="1">
        <v>45927</v>
      </c>
      <c r="U510" s="5">
        <v>9</v>
      </c>
    </row>
    <row r="511" spans="1:21" x14ac:dyDescent="0.3">
      <c r="A511" s="5" t="s">
        <v>572</v>
      </c>
      <c r="B511" s="1">
        <v>45852</v>
      </c>
      <c r="C511" s="5" t="s">
        <v>18</v>
      </c>
      <c r="D511" s="5" t="s">
        <v>19</v>
      </c>
      <c r="E511" s="5" t="s">
        <v>20</v>
      </c>
      <c r="F511" s="5" t="s">
        <v>37</v>
      </c>
      <c r="G511" s="5" t="s">
        <v>38</v>
      </c>
      <c r="H511" s="5" t="s">
        <v>51</v>
      </c>
      <c r="I511" s="5">
        <v>172</v>
      </c>
      <c r="J511" s="5">
        <v>221</v>
      </c>
      <c r="K511" s="5">
        <v>278.44</v>
      </c>
      <c r="L511" s="5">
        <v>1561</v>
      </c>
      <c r="M511" s="5">
        <v>203</v>
      </c>
      <c r="N511" s="5">
        <v>2</v>
      </c>
      <c r="O511" s="5" t="s">
        <v>32</v>
      </c>
      <c r="P511" s="5">
        <v>7714</v>
      </c>
      <c r="Q511" s="5" t="s">
        <v>25</v>
      </c>
      <c r="R511" s="2">
        <v>47891.68</v>
      </c>
      <c r="S511" s="2">
        <v>9879.68</v>
      </c>
      <c r="T511" s="1">
        <v>45852</v>
      </c>
      <c r="U511" s="5">
        <v>7</v>
      </c>
    </row>
    <row r="512" spans="1:21" x14ac:dyDescent="0.3">
      <c r="A512" s="5" t="s">
        <v>573</v>
      </c>
      <c r="B512" s="1">
        <v>45838</v>
      </c>
      <c r="C512" s="5" t="s">
        <v>18</v>
      </c>
      <c r="D512" s="5" t="s">
        <v>36</v>
      </c>
      <c r="E512" s="5" t="s">
        <v>49</v>
      </c>
      <c r="F512" s="5" t="s">
        <v>65</v>
      </c>
      <c r="G512" s="5" t="s">
        <v>31</v>
      </c>
      <c r="H512" s="5" t="s">
        <v>39</v>
      </c>
      <c r="I512" s="5">
        <v>433</v>
      </c>
      <c r="J512" s="5">
        <v>3796</v>
      </c>
      <c r="K512" s="5">
        <v>5312.83</v>
      </c>
      <c r="L512" s="5">
        <v>1150</v>
      </c>
      <c r="M512" s="5">
        <v>108</v>
      </c>
      <c r="N512" s="5">
        <v>1</v>
      </c>
      <c r="O512" s="5" t="s">
        <v>32</v>
      </c>
      <c r="P512" s="5">
        <v>919</v>
      </c>
      <c r="Q512" s="5" t="s">
        <v>33</v>
      </c>
      <c r="R512" s="2">
        <v>2300455.39</v>
      </c>
      <c r="S512" s="2">
        <v>656787.39</v>
      </c>
      <c r="T512" s="1">
        <v>45838</v>
      </c>
      <c r="U512" s="5">
        <v>6</v>
      </c>
    </row>
    <row r="513" spans="1:21" x14ac:dyDescent="0.3">
      <c r="A513" s="5" t="s">
        <v>574</v>
      </c>
      <c r="B513" s="1">
        <v>45932</v>
      </c>
      <c r="C513" s="5" t="s">
        <v>42</v>
      </c>
      <c r="D513" s="5" t="s">
        <v>62</v>
      </c>
      <c r="E513" s="5" t="s">
        <v>20</v>
      </c>
      <c r="F513" s="5" t="s">
        <v>37</v>
      </c>
      <c r="G513" s="5" t="s">
        <v>22</v>
      </c>
      <c r="H513" s="5" t="s">
        <v>51</v>
      </c>
      <c r="I513" s="5">
        <v>443</v>
      </c>
      <c r="J513" s="5">
        <v>2065</v>
      </c>
      <c r="K513" s="5">
        <v>3083.31</v>
      </c>
      <c r="L513" s="5">
        <v>825</v>
      </c>
      <c r="M513" s="5">
        <v>191</v>
      </c>
      <c r="N513" s="5">
        <v>6</v>
      </c>
      <c r="O513" s="5" t="s">
        <v>24</v>
      </c>
      <c r="P513" s="5">
        <v>5836</v>
      </c>
      <c r="Q513" s="5" t="s">
        <v>33</v>
      </c>
      <c r="R513" s="2">
        <v>1365906.33</v>
      </c>
      <c r="S513" s="2">
        <v>451111.33</v>
      </c>
      <c r="T513" s="1">
        <v>45932</v>
      </c>
      <c r="U513" s="5">
        <v>10</v>
      </c>
    </row>
    <row r="514" spans="1:21" x14ac:dyDescent="0.3">
      <c r="A514" s="5" t="s">
        <v>575</v>
      </c>
      <c r="B514" s="1">
        <v>45970</v>
      </c>
      <c r="C514" s="5" t="s">
        <v>27</v>
      </c>
      <c r="D514" s="5" t="s">
        <v>53</v>
      </c>
      <c r="E514" s="5" t="s">
        <v>54</v>
      </c>
      <c r="F514" s="5" t="s">
        <v>81</v>
      </c>
      <c r="G514" s="5" t="s">
        <v>22</v>
      </c>
      <c r="H514" s="5" t="s">
        <v>39</v>
      </c>
      <c r="I514" s="5">
        <v>110</v>
      </c>
      <c r="J514" s="5">
        <v>2163</v>
      </c>
      <c r="K514" s="5">
        <v>3159.84</v>
      </c>
      <c r="L514" s="5">
        <v>1437</v>
      </c>
      <c r="M514" s="5">
        <v>154</v>
      </c>
      <c r="N514" s="5">
        <v>9</v>
      </c>
      <c r="O514" s="5" t="s">
        <v>24</v>
      </c>
      <c r="P514" s="5">
        <v>4106</v>
      </c>
      <c r="Q514" s="5" t="s">
        <v>33</v>
      </c>
      <c r="R514" s="2">
        <v>347582.4</v>
      </c>
      <c r="S514" s="2">
        <v>109652.4</v>
      </c>
      <c r="T514" s="1">
        <v>45970</v>
      </c>
      <c r="U514" s="5">
        <v>11</v>
      </c>
    </row>
    <row r="515" spans="1:21" x14ac:dyDescent="0.3">
      <c r="A515" s="5" t="s">
        <v>576</v>
      </c>
      <c r="B515" s="1">
        <v>45923</v>
      </c>
      <c r="C515" s="5" t="s">
        <v>18</v>
      </c>
      <c r="D515" s="5" t="s">
        <v>62</v>
      </c>
      <c r="E515" s="5" t="s">
        <v>29</v>
      </c>
      <c r="F515" s="5" t="s">
        <v>73</v>
      </c>
      <c r="G515" s="5" t="s">
        <v>22</v>
      </c>
      <c r="H515" s="5" t="s">
        <v>23</v>
      </c>
      <c r="I515" s="5">
        <v>223</v>
      </c>
      <c r="J515" s="5">
        <v>2376</v>
      </c>
      <c r="K515" s="5">
        <v>2821.87</v>
      </c>
      <c r="L515" s="5">
        <v>1916</v>
      </c>
      <c r="M515" s="5">
        <v>230</v>
      </c>
      <c r="N515" s="5">
        <v>8</v>
      </c>
      <c r="O515" s="5" t="s">
        <v>24</v>
      </c>
      <c r="P515" s="5">
        <v>7272</v>
      </c>
      <c r="Q515" s="5" t="s">
        <v>33</v>
      </c>
      <c r="R515" s="2">
        <v>629277.01</v>
      </c>
      <c r="S515" s="2">
        <v>99429.01</v>
      </c>
      <c r="T515" s="1">
        <v>45923</v>
      </c>
      <c r="U515" s="5">
        <v>9</v>
      </c>
    </row>
    <row r="516" spans="1:21" x14ac:dyDescent="0.3">
      <c r="A516" s="5" t="s">
        <v>577</v>
      </c>
      <c r="B516" s="1">
        <v>45975</v>
      </c>
      <c r="C516" s="5" t="s">
        <v>27</v>
      </c>
      <c r="D516" s="5" t="s">
        <v>53</v>
      </c>
      <c r="E516" s="5" t="s">
        <v>49</v>
      </c>
      <c r="F516" s="5" t="s">
        <v>65</v>
      </c>
      <c r="G516" s="5" t="s">
        <v>38</v>
      </c>
      <c r="H516" s="5" t="s">
        <v>51</v>
      </c>
      <c r="I516" s="5">
        <v>390</v>
      </c>
      <c r="J516" s="5">
        <v>4411</v>
      </c>
      <c r="K516" s="5">
        <v>5837.19</v>
      </c>
      <c r="L516" s="5">
        <v>474</v>
      </c>
      <c r="M516" s="5">
        <v>115</v>
      </c>
      <c r="N516" s="5">
        <v>3</v>
      </c>
      <c r="O516" s="5" t="s">
        <v>32</v>
      </c>
      <c r="P516" s="5">
        <v>964</v>
      </c>
      <c r="Q516" s="5" t="s">
        <v>33</v>
      </c>
      <c r="R516" s="2">
        <v>2276504.1</v>
      </c>
      <c r="S516" s="2">
        <v>556214.1</v>
      </c>
      <c r="T516" s="1">
        <v>45975</v>
      </c>
      <c r="U516" s="5">
        <v>11</v>
      </c>
    </row>
    <row r="517" spans="1:21" x14ac:dyDescent="0.3">
      <c r="A517" s="5" t="s">
        <v>578</v>
      </c>
      <c r="B517" s="1">
        <v>45934</v>
      </c>
      <c r="C517" s="5" t="s">
        <v>27</v>
      </c>
      <c r="D517" s="5" t="s">
        <v>53</v>
      </c>
      <c r="E517" s="5" t="s">
        <v>54</v>
      </c>
      <c r="F517" s="5" t="s">
        <v>81</v>
      </c>
      <c r="G517" s="5" t="s">
        <v>22</v>
      </c>
      <c r="H517" s="5" t="s">
        <v>23</v>
      </c>
      <c r="I517" s="5">
        <v>429</v>
      </c>
      <c r="J517" s="5">
        <v>2591</v>
      </c>
      <c r="K517" s="5">
        <v>3618.48</v>
      </c>
      <c r="L517" s="5">
        <v>877</v>
      </c>
      <c r="M517" s="5">
        <v>101</v>
      </c>
      <c r="N517" s="5">
        <v>7</v>
      </c>
      <c r="O517" s="5" t="s">
        <v>24</v>
      </c>
      <c r="P517" s="5">
        <v>562</v>
      </c>
      <c r="Q517" s="5" t="s">
        <v>25</v>
      </c>
      <c r="R517" s="2">
        <v>1552327.92</v>
      </c>
      <c r="S517" s="2">
        <v>440788.92</v>
      </c>
      <c r="T517" s="1">
        <v>45934</v>
      </c>
      <c r="U517" s="5">
        <v>10</v>
      </c>
    </row>
    <row r="518" spans="1:21" x14ac:dyDescent="0.3">
      <c r="A518" s="5" t="s">
        <v>579</v>
      </c>
      <c r="B518" s="1">
        <v>45846</v>
      </c>
      <c r="C518" s="5" t="s">
        <v>27</v>
      </c>
      <c r="D518" s="5" t="s">
        <v>36</v>
      </c>
      <c r="E518" s="5" t="s">
        <v>54</v>
      </c>
      <c r="F518" s="5" t="s">
        <v>81</v>
      </c>
      <c r="G518" s="5" t="s">
        <v>38</v>
      </c>
      <c r="H518" s="5" t="s">
        <v>51</v>
      </c>
      <c r="I518" s="5">
        <v>165</v>
      </c>
      <c r="J518" s="5">
        <v>2717</v>
      </c>
      <c r="K518" s="5">
        <v>3634.19</v>
      </c>
      <c r="L518" s="5">
        <v>1085</v>
      </c>
      <c r="M518" s="5">
        <v>220</v>
      </c>
      <c r="N518" s="5">
        <v>9</v>
      </c>
      <c r="O518" s="5" t="s">
        <v>24</v>
      </c>
      <c r="P518" s="5">
        <v>3803</v>
      </c>
      <c r="Q518" s="5" t="s">
        <v>33</v>
      </c>
      <c r="R518" s="2">
        <v>599641.35</v>
      </c>
      <c r="S518" s="2">
        <v>151336.35</v>
      </c>
      <c r="T518" s="1">
        <v>45846</v>
      </c>
      <c r="U518" s="5">
        <v>7</v>
      </c>
    </row>
    <row r="519" spans="1:21" x14ac:dyDescent="0.3">
      <c r="A519" s="5" t="s">
        <v>580</v>
      </c>
      <c r="B519" s="1">
        <v>45760</v>
      </c>
      <c r="C519" s="5" t="s">
        <v>18</v>
      </c>
      <c r="D519" s="5" t="s">
        <v>36</v>
      </c>
      <c r="E519" s="5" t="s">
        <v>54</v>
      </c>
      <c r="F519" s="5" t="s">
        <v>78</v>
      </c>
      <c r="G519" s="5" t="s">
        <v>31</v>
      </c>
      <c r="H519" s="5" t="s">
        <v>23</v>
      </c>
      <c r="I519" s="5">
        <v>361</v>
      </c>
      <c r="J519" s="5">
        <v>3708</v>
      </c>
      <c r="K519" s="5">
        <v>5196.58</v>
      </c>
      <c r="L519" s="5">
        <v>1331</v>
      </c>
      <c r="M519" s="5">
        <v>122</v>
      </c>
      <c r="N519" s="5">
        <v>7</v>
      </c>
      <c r="O519" s="5" t="s">
        <v>24</v>
      </c>
      <c r="P519" s="5">
        <v>3574</v>
      </c>
      <c r="Q519" s="5" t="s">
        <v>33</v>
      </c>
      <c r="R519" s="2">
        <v>1875965.38</v>
      </c>
      <c r="S519" s="2">
        <v>537377.38</v>
      </c>
      <c r="T519" s="1">
        <v>45760</v>
      </c>
      <c r="U519" s="5">
        <v>4</v>
      </c>
    </row>
    <row r="520" spans="1:21" x14ac:dyDescent="0.3">
      <c r="A520" s="5" t="s">
        <v>581</v>
      </c>
      <c r="B520" s="1">
        <v>45900</v>
      </c>
      <c r="C520" s="5" t="s">
        <v>42</v>
      </c>
      <c r="D520" s="5" t="s">
        <v>36</v>
      </c>
      <c r="E520" s="5" t="s">
        <v>29</v>
      </c>
      <c r="F520" s="5" t="s">
        <v>73</v>
      </c>
      <c r="G520" s="5" t="s">
        <v>38</v>
      </c>
      <c r="H520" s="5" t="s">
        <v>39</v>
      </c>
      <c r="I520" s="5">
        <v>86</v>
      </c>
      <c r="J520" s="5">
        <v>187</v>
      </c>
      <c r="K520" s="5">
        <v>264.23</v>
      </c>
      <c r="L520" s="5">
        <v>1734</v>
      </c>
      <c r="M520" s="5">
        <v>172</v>
      </c>
      <c r="N520" s="5">
        <v>4</v>
      </c>
      <c r="O520" s="5" t="s">
        <v>32</v>
      </c>
      <c r="P520" s="5">
        <v>6683</v>
      </c>
      <c r="Q520" s="5" t="s">
        <v>33</v>
      </c>
      <c r="R520" s="2">
        <v>22723.78</v>
      </c>
      <c r="S520" s="2">
        <v>6641.78</v>
      </c>
      <c r="T520" s="1">
        <v>45900</v>
      </c>
      <c r="U520" s="5">
        <v>8</v>
      </c>
    </row>
    <row r="521" spans="1:21" x14ac:dyDescent="0.3">
      <c r="A521" s="5" t="s">
        <v>582</v>
      </c>
      <c r="B521" s="1">
        <v>45774</v>
      </c>
      <c r="C521" s="5" t="s">
        <v>42</v>
      </c>
      <c r="D521" s="5" t="s">
        <v>28</v>
      </c>
      <c r="E521" s="5" t="s">
        <v>49</v>
      </c>
      <c r="F521" s="5" t="s">
        <v>94</v>
      </c>
      <c r="G521" s="5" t="s">
        <v>22</v>
      </c>
      <c r="H521" s="5" t="s">
        <v>51</v>
      </c>
      <c r="I521" s="5">
        <v>30</v>
      </c>
      <c r="J521" s="5">
        <v>3766</v>
      </c>
      <c r="K521" s="5">
        <v>4745.54</v>
      </c>
      <c r="L521" s="5">
        <v>241</v>
      </c>
      <c r="M521" s="5">
        <v>194</v>
      </c>
      <c r="N521" s="5">
        <v>7</v>
      </c>
      <c r="O521" s="5" t="s">
        <v>24</v>
      </c>
      <c r="P521" s="5">
        <v>1930</v>
      </c>
      <c r="Q521" s="5" t="s">
        <v>25</v>
      </c>
      <c r="R521" s="2">
        <v>142366.20000000001</v>
      </c>
      <c r="S521" s="2">
        <v>29386.2</v>
      </c>
      <c r="T521" s="1">
        <v>45774</v>
      </c>
      <c r="U521" s="5">
        <v>4</v>
      </c>
    </row>
    <row r="522" spans="1:21" x14ac:dyDescent="0.3">
      <c r="A522" s="5" t="s">
        <v>583</v>
      </c>
      <c r="B522" s="1">
        <v>45954</v>
      </c>
      <c r="C522" s="5" t="s">
        <v>42</v>
      </c>
      <c r="D522" s="5" t="s">
        <v>28</v>
      </c>
      <c r="E522" s="5" t="s">
        <v>54</v>
      </c>
      <c r="F522" s="5" t="s">
        <v>78</v>
      </c>
      <c r="G522" s="5" t="s">
        <v>38</v>
      </c>
      <c r="H522" s="5" t="s">
        <v>51</v>
      </c>
      <c r="I522" s="5">
        <v>193</v>
      </c>
      <c r="J522" s="5">
        <v>1891</v>
      </c>
      <c r="K522" s="5">
        <v>2229.9299999999998</v>
      </c>
      <c r="L522" s="5">
        <v>1494</v>
      </c>
      <c r="M522" s="5">
        <v>134</v>
      </c>
      <c r="N522" s="5">
        <v>1</v>
      </c>
      <c r="O522" s="5" t="s">
        <v>32</v>
      </c>
      <c r="P522" s="5">
        <v>7019</v>
      </c>
      <c r="Q522" s="5" t="s">
        <v>25</v>
      </c>
      <c r="R522" s="2">
        <v>430376.49</v>
      </c>
      <c r="S522" s="2">
        <v>65413.49</v>
      </c>
      <c r="T522" s="1">
        <v>45954</v>
      </c>
      <c r="U522" s="5">
        <v>10</v>
      </c>
    </row>
    <row r="523" spans="1:21" x14ac:dyDescent="0.3">
      <c r="A523" s="5" t="s">
        <v>584</v>
      </c>
      <c r="B523" s="1">
        <v>45846</v>
      </c>
      <c r="C523" s="5" t="s">
        <v>42</v>
      </c>
      <c r="D523" s="5" t="s">
        <v>62</v>
      </c>
      <c r="E523" s="5" t="s">
        <v>29</v>
      </c>
      <c r="F523" s="5" t="s">
        <v>73</v>
      </c>
      <c r="G523" s="5" t="s">
        <v>22</v>
      </c>
      <c r="H523" s="5" t="s">
        <v>39</v>
      </c>
      <c r="I523" s="5">
        <v>478</v>
      </c>
      <c r="J523" s="5">
        <v>4351</v>
      </c>
      <c r="K523" s="5">
        <v>5116.55</v>
      </c>
      <c r="L523" s="5">
        <v>739</v>
      </c>
      <c r="M523" s="5">
        <v>245</v>
      </c>
      <c r="N523" s="5">
        <v>3</v>
      </c>
      <c r="O523" s="5" t="s">
        <v>32</v>
      </c>
      <c r="P523" s="5">
        <v>3151</v>
      </c>
      <c r="Q523" s="5" t="s">
        <v>33</v>
      </c>
      <c r="R523" s="2">
        <v>2445710.9</v>
      </c>
      <c r="S523" s="2">
        <v>365932.9</v>
      </c>
      <c r="T523" s="1">
        <v>45846</v>
      </c>
      <c r="U523" s="5">
        <v>7</v>
      </c>
    </row>
    <row r="524" spans="1:21" x14ac:dyDescent="0.3">
      <c r="A524" s="5" t="s">
        <v>585</v>
      </c>
      <c r="B524" s="1">
        <v>45742</v>
      </c>
      <c r="C524" s="5" t="s">
        <v>35</v>
      </c>
      <c r="D524" s="5" t="s">
        <v>53</v>
      </c>
      <c r="E524" s="5" t="s">
        <v>20</v>
      </c>
      <c r="F524" s="5" t="s">
        <v>21</v>
      </c>
      <c r="G524" s="5" t="s">
        <v>38</v>
      </c>
      <c r="H524" s="5" t="s">
        <v>23</v>
      </c>
      <c r="I524" s="5">
        <v>49</v>
      </c>
      <c r="J524" s="5">
        <v>3784</v>
      </c>
      <c r="K524" s="5">
        <v>4743.03</v>
      </c>
      <c r="L524" s="5">
        <v>1693</v>
      </c>
      <c r="M524" s="5">
        <v>283</v>
      </c>
      <c r="N524" s="5">
        <v>9</v>
      </c>
      <c r="O524" s="5" t="s">
        <v>24</v>
      </c>
      <c r="P524" s="5">
        <v>5806</v>
      </c>
      <c r="Q524" s="5" t="s">
        <v>46</v>
      </c>
      <c r="R524" s="2">
        <v>232408.47</v>
      </c>
      <c r="S524" s="2">
        <v>46992.47</v>
      </c>
      <c r="T524" s="1">
        <v>45742</v>
      </c>
      <c r="U524" s="5">
        <v>3</v>
      </c>
    </row>
    <row r="525" spans="1:21" x14ac:dyDescent="0.3">
      <c r="A525" s="5" t="s">
        <v>586</v>
      </c>
      <c r="B525" s="1">
        <v>45706</v>
      </c>
      <c r="C525" s="5" t="s">
        <v>18</v>
      </c>
      <c r="D525" s="5" t="s">
        <v>19</v>
      </c>
      <c r="E525" s="5" t="s">
        <v>29</v>
      </c>
      <c r="F525" s="5" t="s">
        <v>30</v>
      </c>
      <c r="G525" s="5" t="s">
        <v>56</v>
      </c>
      <c r="H525" s="5" t="s">
        <v>39</v>
      </c>
      <c r="I525" s="5">
        <v>177</v>
      </c>
      <c r="J525" s="5">
        <v>3371</v>
      </c>
      <c r="K525" s="5">
        <v>4662.78</v>
      </c>
      <c r="L525" s="5">
        <v>217</v>
      </c>
      <c r="M525" s="5">
        <v>300</v>
      </c>
      <c r="N525" s="5">
        <v>1</v>
      </c>
      <c r="O525" s="5" t="s">
        <v>32</v>
      </c>
      <c r="P525" s="5">
        <v>1687</v>
      </c>
      <c r="Q525" s="5" t="s">
        <v>33</v>
      </c>
      <c r="R525" s="2">
        <v>825312.06</v>
      </c>
      <c r="S525" s="2">
        <v>228645.06</v>
      </c>
      <c r="T525" s="1">
        <v>45706</v>
      </c>
      <c r="U525" s="5">
        <v>2</v>
      </c>
    </row>
    <row r="526" spans="1:21" x14ac:dyDescent="0.3">
      <c r="A526" s="5" t="s">
        <v>587</v>
      </c>
      <c r="B526" s="1">
        <v>45897</v>
      </c>
      <c r="C526" s="5" t="s">
        <v>35</v>
      </c>
      <c r="D526" s="5" t="s">
        <v>36</v>
      </c>
      <c r="E526" s="5" t="s">
        <v>20</v>
      </c>
      <c r="F526" s="5" t="s">
        <v>60</v>
      </c>
      <c r="G526" s="5" t="s">
        <v>56</v>
      </c>
      <c r="H526" s="5" t="s">
        <v>23</v>
      </c>
      <c r="I526" s="5">
        <v>323</v>
      </c>
      <c r="J526" s="5">
        <v>1871</v>
      </c>
      <c r="K526" s="5">
        <v>2588.71</v>
      </c>
      <c r="L526" s="5">
        <v>1261</v>
      </c>
      <c r="M526" s="5">
        <v>134</v>
      </c>
      <c r="N526" s="5">
        <v>9</v>
      </c>
      <c r="O526" s="5" t="s">
        <v>24</v>
      </c>
      <c r="P526" s="5">
        <v>3300</v>
      </c>
      <c r="Q526" s="5" t="s">
        <v>33</v>
      </c>
      <c r="R526" s="2">
        <v>836153.33</v>
      </c>
      <c r="S526" s="2">
        <v>231820.33</v>
      </c>
      <c r="T526" s="1">
        <v>45897</v>
      </c>
      <c r="U526" s="5">
        <v>8</v>
      </c>
    </row>
    <row r="527" spans="1:21" x14ac:dyDescent="0.3">
      <c r="A527" s="5" t="s">
        <v>588</v>
      </c>
      <c r="B527" s="1">
        <v>45904</v>
      </c>
      <c r="C527" s="5" t="s">
        <v>42</v>
      </c>
      <c r="D527" s="5" t="s">
        <v>36</v>
      </c>
      <c r="E527" s="5" t="s">
        <v>29</v>
      </c>
      <c r="F527" s="5" t="s">
        <v>43</v>
      </c>
      <c r="G527" s="5" t="s">
        <v>38</v>
      </c>
      <c r="H527" s="5" t="s">
        <v>23</v>
      </c>
      <c r="I527" s="5">
        <v>154</v>
      </c>
      <c r="J527" s="5">
        <v>274</v>
      </c>
      <c r="K527" s="5">
        <v>384.64</v>
      </c>
      <c r="L527" s="5">
        <v>96</v>
      </c>
      <c r="M527" s="5">
        <v>126</v>
      </c>
      <c r="N527" s="5">
        <v>10</v>
      </c>
      <c r="O527" s="5" t="s">
        <v>24</v>
      </c>
      <c r="P527" s="5">
        <v>4946</v>
      </c>
      <c r="Q527" s="5" t="s">
        <v>46</v>
      </c>
      <c r="R527" s="2">
        <v>59234.559999999998</v>
      </c>
      <c r="S527" s="2">
        <v>17038.560000000001</v>
      </c>
      <c r="T527" s="1">
        <v>45904</v>
      </c>
      <c r="U527" s="5">
        <v>9</v>
      </c>
    </row>
    <row r="528" spans="1:21" x14ac:dyDescent="0.3">
      <c r="A528" s="5" t="s">
        <v>589</v>
      </c>
      <c r="B528" s="1">
        <v>46013</v>
      </c>
      <c r="C528" s="5" t="s">
        <v>35</v>
      </c>
      <c r="D528" s="5" t="s">
        <v>62</v>
      </c>
      <c r="E528" s="5" t="s">
        <v>54</v>
      </c>
      <c r="F528" s="5" t="s">
        <v>81</v>
      </c>
      <c r="G528" s="5" t="s">
        <v>38</v>
      </c>
      <c r="H528" s="5" t="s">
        <v>51</v>
      </c>
      <c r="I528" s="5">
        <v>191</v>
      </c>
      <c r="J528" s="5">
        <v>349</v>
      </c>
      <c r="K528" s="5">
        <v>452.31</v>
      </c>
      <c r="L528" s="5">
        <v>911</v>
      </c>
      <c r="M528" s="5">
        <v>89</v>
      </c>
      <c r="N528" s="5">
        <v>8</v>
      </c>
      <c r="O528" s="5" t="s">
        <v>24</v>
      </c>
      <c r="P528" s="5">
        <v>5492</v>
      </c>
      <c r="Q528" s="5" t="s">
        <v>33</v>
      </c>
      <c r="R528" s="2">
        <v>86391.21</v>
      </c>
      <c r="S528" s="2">
        <v>19732.21</v>
      </c>
      <c r="T528" s="1">
        <v>46013</v>
      </c>
      <c r="U528" s="5">
        <v>12</v>
      </c>
    </row>
    <row r="529" spans="1:21" x14ac:dyDescent="0.3">
      <c r="A529" s="5" t="s">
        <v>590</v>
      </c>
      <c r="B529" s="1">
        <v>46006</v>
      </c>
      <c r="C529" s="5" t="s">
        <v>18</v>
      </c>
      <c r="D529" s="5" t="s">
        <v>19</v>
      </c>
      <c r="E529" s="5" t="s">
        <v>20</v>
      </c>
      <c r="F529" s="5" t="s">
        <v>100</v>
      </c>
      <c r="G529" s="5" t="s">
        <v>31</v>
      </c>
      <c r="H529" s="5" t="s">
        <v>51</v>
      </c>
      <c r="I529" s="5">
        <v>81</v>
      </c>
      <c r="J529" s="5">
        <v>1284</v>
      </c>
      <c r="K529" s="5">
        <v>1477.19</v>
      </c>
      <c r="L529" s="5">
        <v>388</v>
      </c>
      <c r="M529" s="5">
        <v>243</v>
      </c>
      <c r="N529" s="5">
        <v>10</v>
      </c>
      <c r="O529" s="5" t="s">
        <v>24</v>
      </c>
      <c r="P529" s="5">
        <v>7804</v>
      </c>
      <c r="Q529" s="5" t="s">
        <v>33</v>
      </c>
      <c r="R529" s="2">
        <v>119652.39</v>
      </c>
      <c r="S529" s="2">
        <v>15648.39</v>
      </c>
      <c r="T529" s="1">
        <v>46006</v>
      </c>
      <c r="U529" s="5">
        <v>12</v>
      </c>
    </row>
    <row r="530" spans="1:21" x14ac:dyDescent="0.3">
      <c r="A530" s="5" t="s">
        <v>591</v>
      </c>
      <c r="B530" s="1">
        <v>45713</v>
      </c>
      <c r="C530" s="5" t="s">
        <v>18</v>
      </c>
      <c r="D530" s="5" t="s">
        <v>28</v>
      </c>
      <c r="E530" s="5" t="s">
        <v>20</v>
      </c>
      <c r="F530" s="5" t="s">
        <v>37</v>
      </c>
      <c r="G530" s="5" t="s">
        <v>56</v>
      </c>
      <c r="H530" s="5" t="s">
        <v>51</v>
      </c>
      <c r="I530" s="5">
        <v>304</v>
      </c>
      <c r="J530" s="5">
        <v>4019</v>
      </c>
      <c r="K530" s="5">
        <v>5553.74</v>
      </c>
      <c r="L530" s="5">
        <v>1656</v>
      </c>
      <c r="M530" s="5">
        <v>127</v>
      </c>
      <c r="N530" s="5">
        <v>5</v>
      </c>
      <c r="O530" s="5" t="s">
        <v>32</v>
      </c>
      <c r="P530" s="5">
        <v>5314</v>
      </c>
      <c r="Q530" s="5" t="s">
        <v>33</v>
      </c>
      <c r="R530" s="2">
        <v>1688336.96</v>
      </c>
      <c r="S530" s="2">
        <v>466560.96</v>
      </c>
      <c r="T530" s="1">
        <v>45713</v>
      </c>
      <c r="U530" s="5">
        <v>2</v>
      </c>
    </row>
    <row r="531" spans="1:21" x14ac:dyDescent="0.3">
      <c r="A531" s="5" t="s">
        <v>592</v>
      </c>
      <c r="B531" s="1">
        <v>45746</v>
      </c>
      <c r="C531" s="5" t="s">
        <v>35</v>
      </c>
      <c r="D531" s="5" t="s">
        <v>62</v>
      </c>
      <c r="E531" s="5" t="s">
        <v>29</v>
      </c>
      <c r="F531" s="5" t="s">
        <v>69</v>
      </c>
      <c r="G531" s="5" t="s">
        <v>31</v>
      </c>
      <c r="H531" s="5" t="s">
        <v>23</v>
      </c>
      <c r="I531" s="5">
        <v>433</v>
      </c>
      <c r="J531" s="5">
        <v>1461</v>
      </c>
      <c r="K531" s="5">
        <v>2030.51</v>
      </c>
      <c r="L531" s="5">
        <v>1734</v>
      </c>
      <c r="M531" s="5">
        <v>158</v>
      </c>
      <c r="N531" s="5">
        <v>3</v>
      </c>
      <c r="O531" s="5" t="s">
        <v>32</v>
      </c>
      <c r="P531" s="5">
        <v>314</v>
      </c>
      <c r="Q531" s="5" t="s">
        <v>33</v>
      </c>
      <c r="R531" s="2">
        <v>879210.83</v>
      </c>
      <c r="S531" s="2">
        <v>246597.83</v>
      </c>
      <c r="T531" s="1">
        <v>45746</v>
      </c>
      <c r="U531" s="5">
        <v>3</v>
      </c>
    </row>
    <row r="532" spans="1:21" x14ac:dyDescent="0.3">
      <c r="A532" s="5" t="s">
        <v>593</v>
      </c>
      <c r="B532" s="1">
        <v>45907</v>
      </c>
      <c r="C532" s="5" t="s">
        <v>27</v>
      </c>
      <c r="D532" s="5" t="s">
        <v>19</v>
      </c>
      <c r="E532" s="5" t="s">
        <v>49</v>
      </c>
      <c r="F532" s="5" t="s">
        <v>94</v>
      </c>
      <c r="G532" s="5" t="s">
        <v>56</v>
      </c>
      <c r="H532" s="5" t="s">
        <v>39</v>
      </c>
      <c r="I532" s="5">
        <v>181</v>
      </c>
      <c r="J532" s="5">
        <v>727</v>
      </c>
      <c r="K532" s="5">
        <v>1072.75</v>
      </c>
      <c r="L532" s="5">
        <v>1241</v>
      </c>
      <c r="M532" s="5">
        <v>112</v>
      </c>
      <c r="N532" s="5">
        <v>9</v>
      </c>
      <c r="O532" s="5" t="s">
        <v>24</v>
      </c>
      <c r="P532" s="5">
        <v>1173</v>
      </c>
      <c r="Q532" s="5" t="s">
        <v>40</v>
      </c>
      <c r="R532" s="2">
        <v>194167.75</v>
      </c>
      <c r="S532" s="2">
        <v>62580.75</v>
      </c>
      <c r="T532" s="1">
        <v>45907</v>
      </c>
      <c r="U532" s="5">
        <v>9</v>
      </c>
    </row>
    <row r="533" spans="1:21" x14ac:dyDescent="0.3">
      <c r="A533" s="5" t="s">
        <v>594</v>
      </c>
      <c r="B533" s="1">
        <v>45844</v>
      </c>
      <c r="C533" s="5" t="s">
        <v>42</v>
      </c>
      <c r="D533" s="5" t="s">
        <v>28</v>
      </c>
      <c r="E533" s="5" t="s">
        <v>49</v>
      </c>
      <c r="F533" s="5" t="s">
        <v>94</v>
      </c>
      <c r="G533" s="5" t="s">
        <v>31</v>
      </c>
      <c r="H533" s="5" t="s">
        <v>51</v>
      </c>
      <c r="I533" s="5">
        <v>299</v>
      </c>
      <c r="J533" s="5">
        <v>1623</v>
      </c>
      <c r="K533" s="5">
        <v>2319.1799999999998</v>
      </c>
      <c r="L533" s="5">
        <v>482</v>
      </c>
      <c r="M533" s="5">
        <v>258</v>
      </c>
      <c r="N533" s="5">
        <v>7</v>
      </c>
      <c r="O533" s="5" t="s">
        <v>24</v>
      </c>
      <c r="P533" s="5">
        <v>1961</v>
      </c>
      <c r="Q533" s="5" t="s">
        <v>33</v>
      </c>
      <c r="R533" s="2">
        <v>693434.82</v>
      </c>
      <c r="S533" s="2">
        <v>208157.82</v>
      </c>
      <c r="T533" s="1">
        <v>45844</v>
      </c>
      <c r="U533" s="5">
        <v>7</v>
      </c>
    </row>
    <row r="534" spans="1:21" x14ac:dyDescent="0.3">
      <c r="A534" s="5" t="s">
        <v>595</v>
      </c>
      <c r="B534" s="1">
        <v>45704</v>
      </c>
      <c r="C534" s="5" t="s">
        <v>35</v>
      </c>
      <c r="D534" s="5" t="s">
        <v>28</v>
      </c>
      <c r="E534" s="5" t="s">
        <v>49</v>
      </c>
      <c r="F534" s="5" t="s">
        <v>75</v>
      </c>
      <c r="G534" s="5" t="s">
        <v>31</v>
      </c>
      <c r="H534" s="5" t="s">
        <v>39</v>
      </c>
      <c r="I534" s="5">
        <v>452</v>
      </c>
      <c r="J534" s="5">
        <v>3148</v>
      </c>
      <c r="K534" s="5">
        <v>3811.17</v>
      </c>
      <c r="L534" s="5">
        <v>1101</v>
      </c>
      <c r="M534" s="5">
        <v>228</v>
      </c>
      <c r="N534" s="5">
        <v>10</v>
      </c>
      <c r="O534" s="5" t="s">
        <v>24</v>
      </c>
      <c r="P534" s="5">
        <v>988</v>
      </c>
      <c r="Q534" s="5" t="s">
        <v>46</v>
      </c>
      <c r="R534" s="2">
        <v>1722648.84</v>
      </c>
      <c r="S534" s="2">
        <v>299752.84000000003</v>
      </c>
      <c r="T534" s="1">
        <v>45704</v>
      </c>
      <c r="U534" s="5">
        <v>2</v>
      </c>
    </row>
    <row r="535" spans="1:21" x14ac:dyDescent="0.3">
      <c r="A535" s="5" t="s">
        <v>596</v>
      </c>
      <c r="B535" s="1">
        <v>45708</v>
      </c>
      <c r="C535" s="5" t="s">
        <v>35</v>
      </c>
      <c r="D535" s="5" t="s">
        <v>28</v>
      </c>
      <c r="E535" s="5" t="s">
        <v>20</v>
      </c>
      <c r="F535" s="5" t="s">
        <v>21</v>
      </c>
      <c r="G535" s="5" t="s">
        <v>31</v>
      </c>
      <c r="H535" s="5" t="s">
        <v>51</v>
      </c>
      <c r="I535" s="5">
        <v>69</v>
      </c>
      <c r="J535" s="5">
        <v>222</v>
      </c>
      <c r="K535" s="5">
        <v>302.83999999999997</v>
      </c>
      <c r="L535" s="5">
        <v>1819</v>
      </c>
      <c r="M535" s="5">
        <v>97</v>
      </c>
      <c r="N535" s="5">
        <v>9</v>
      </c>
      <c r="O535" s="5" t="s">
        <v>24</v>
      </c>
      <c r="P535" s="5">
        <v>7170</v>
      </c>
      <c r="Q535" s="5" t="s">
        <v>25</v>
      </c>
      <c r="R535" s="2">
        <v>20895.96</v>
      </c>
      <c r="S535" s="2">
        <v>5577.96</v>
      </c>
      <c r="T535" s="1">
        <v>45708</v>
      </c>
      <c r="U535" s="5">
        <v>2</v>
      </c>
    </row>
    <row r="536" spans="1:21" x14ac:dyDescent="0.3">
      <c r="A536" s="5" t="s">
        <v>597</v>
      </c>
      <c r="B536" s="1">
        <v>46003</v>
      </c>
      <c r="C536" s="5" t="s">
        <v>35</v>
      </c>
      <c r="D536" s="5" t="s">
        <v>28</v>
      </c>
      <c r="E536" s="5" t="s">
        <v>54</v>
      </c>
      <c r="F536" s="5" t="s">
        <v>78</v>
      </c>
      <c r="G536" s="5" t="s">
        <v>31</v>
      </c>
      <c r="H536" s="5" t="s">
        <v>51</v>
      </c>
      <c r="I536" s="5">
        <v>45</v>
      </c>
      <c r="J536" s="5">
        <v>1563</v>
      </c>
      <c r="K536" s="5">
        <v>2295.94</v>
      </c>
      <c r="L536" s="5">
        <v>73</v>
      </c>
      <c r="M536" s="5">
        <v>129</v>
      </c>
      <c r="N536" s="5">
        <v>2</v>
      </c>
      <c r="O536" s="5" t="s">
        <v>32</v>
      </c>
      <c r="P536" s="5">
        <v>5027</v>
      </c>
      <c r="Q536" s="5" t="s">
        <v>33</v>
      </c>
      <c r="R536" s="2">
        <v>103317.3</v>
      </c>
      <c r="S536" s="2">
        <v>32982.300000000003</v>
      </c>
      <c r="T536" s="1">
        <v>46003</v>
      </c>
      <c r="U536" s="5">
        <v>12</v>
      </c>
    </row>
    <row r="537" spans="1:21" x14ac:dyDescent="0.3">
      <c r="A537" s="5" t="s">
        <v>598</v>
      </c>
      <c r="B537" s="1">
        <v>45700</v>
      </c>
      <c r="C537" s="5" t="s">
        <v>42</v>
      </c>
      <c r="D537" s="5" t="s">
        <v>36</v>
      </c>
      <c r="E537" s="5" t="s">
        <v>49</v>
      </c>
      <c r="F537" s="5" t="s">
        <v>94</v>
      </c>
      <c r="G537" s="5" t="s">
        <v>31</v>
      </c>
      <c r="H537" s="5" t="s">
        <v>39</v>
      </c>
      <c r="I537" s="5">
        <v>414</v>
      </c>
      <c r="J537" s="5">
        <v>3692</v>
      </c>
      <c r="K537" s="5">
        <v>5013.8900000000003</v>
      </c>
      <c r="L537" s="5">
        <v>1747</v>
      </c>
      <c r="M537" s="5">
        <v>271</v>
      </c>
      <c r="N537" s="5">
        <v>1</v>
      </c>
      <c r="O537" s="5" t="s">
        <v>32</v>
      </c>
      <c r="P537" s="5">
        <v>3696</v>
      </c>
      <c r="Q537" s="5" t="s">
        <v>33</v>
      </c>
      <c r="R537" s="2">
        <v>2075750.46</v>
      </c>
      <c r="S537" s="2">
        <v>547262.46</v>
      </c>
      <c r="T537" s="1">
        <v>45700</v>
      </c>
      <c r="U537" s="5">
        <v>2</v>
      </c>
    </row>
    <row r="538" spans="1:21" x14ac:dyDescent="0.3">
      <c r="A538" s="5" t="s">
        <v>599</v>
      </c>
      <c r="B538" s="1">
        <v>45950</v>
      </c>
      <c r="C538" s="5" t="s">
        <v>18</v>
      </c>
      <c r="D538" s="5" t="s">
        <v>53</v>
      </c>
      <c r="E538" s="5" t="s">
        <v>49</v>
      </c>
      <c r="F538" s="5" t="s">
        <v>89</v>
      </c>
      <c r="G538" s="5" t="s">
        <v>31</v>
      </c>
      <c r="H538" s="5" t="s">
        <v>39</v>
      </c>
      <c r="I538" s="5">
        <v>211</v>
      </c>
      <c r="J538" s="5">
        <v>1659</v>
      </c>
      <c r="K538" s="5">
        <v>2239.9699999999998</v>
      </c>
      <c r="L538" s="5">
        <v>2000</v>
      </c>
      <c r="M538" s="5">
        <v>274</v>
      </c>
      <c r="N538" s="5">
        <v>8</v>
      </c>
      <c r="O538" s="5" t="s">
        <v>24</v>
      </c>
      <c r="P538" s="5">
        <v>2561</v>
      </c>
      <c r="Q538" s="5" t="s">
        <v>46</v>
      </c>
      <c r="R538" s="2">
        <v>472633.67</v>
      </c>
      <c r="S538" s="2">
        <v>122584.67</v>
      </c>
      <c r="T538" s="1">
        <v>45950</v>
      </c>
      <c r="U538" s="5">
        <v>10</v>
      </c>
    </row>
    <row r="539" spans="1:21" x14ac:dyDescent="0.3">
      <c r="A539" s="5" t="s">
        <v>600</v>
      </c>
      <c r="B539" s="1">
        <v>45778</v>
      </c>
      <c r="C539" s="5" t="s">
        <v>18</v>
      </c>
      <c r="D539" s="5" t="s">
        <v>28</v>
      </c>
      <c r="E539" s="5" t="s">
        <v>29</v>
      </c>
      <c r="F539" s="5" t="s">
        <v>73</v>
      </c>
      <c r="G539" s="5" t="s">
        <v>22</v>
      </c>
      <c r="H539" s="5" t="s">
        <v>39</v>
      </c>
      <c r="I539" s="5">
        <v>296</v>
      </c>
      <c r="J539" s="5">
        <v>2995</v>
      </c>
      <c r="K539" s="5">
        <v>4185.8599999999997</v>
      </c>
      <c r="L539" s="5">
        <v>305</v>
      </c>
      <c r="M539" s="5">
        <v>133</v>
      </c>
      <c r="N539" s="5">
        <v>3</v>
      </c>
      <c r="O539" s="5" t="s">
        <v>32</v>
      </c>
      <c r="P539" s="5">
        <v>7212</v>
      </c>
      <c r="Q539" s="5" t="s">
        <v>33</v>
      </c>
      <c r="R539" s="2">
        <v>1239014.56</v>
      </c>
      <c r="S539" s="2">
        <v>352494.56</v>
      </c>
      <c r="T539" s="1">
        <v>45778</v>
      </c>
      <c r="U539" s="5">
        <v>5</v>
      </c>
    </row>
    <row r="540" spans="1:21" x14ac:dyDescent="0.3">
      <c r="A540" s="5" t="s">
        <v>601</v>
      </c>
      <c r="B540" s="1">
        <v>45680</v>
      </c>
      <c r="C540" s="5" t="s">
        <v>27</v>
      </c>
      <c r="D540" s="5" t="s">
        <v>28</v>
      </c>
      <c r="E540" s="5" t="s">
        <v>54</v>
      </c>
      <c r="F540" s="5" t="s">
        <v>63</v>
      </c>
      <c r="G540" s="5" t="s">
        <v>56</v>
      </c>
      <c r="H540" s="5" t="s">
        <v>51</v>
      </c>
      <c r="I540" s="5">
        <v>164</v>
      </c>
      <c r="J540" s="5">
        <v>2905</v>
      </c>
      <c r="K540" s="5">
        <v>3462.51</v>
      </c>
      <c r="L540" s="5">
        <v>307</v>
      </c>
      <c r="M540" s="5">
        <v>104</v>
      </c>
      <c r="N540" s="5">
        <v>6</v>
      </c>
      <c r="O540" s="5" t="s">
        <v>24</v>
      </c>
      <c r="P540" s="5">
        <v>1653</v>
      </c>
      <c r="Q540" s="5" t="s">
        <v>25</v>
      </c>
      <c r="R540" s="2">
        <v>567851.64</v>
      </c>
      <c r="S540" s="2">
        <v>91431.64</v>
      </c>
      <c r="T540" s="1">
        <v>45680</v>
      </c>
      <c r="U540" s="5">
        <v>1</v>
      </c>
    </row>
    <row r="541" spans="1:21" x14ac:dyDescent="0.3">
      <c r="A541" s="5" t="s">
        <v>602</v>
      </c>
      <c r="B541" s="1">
        <v>45932</v>
      </c>
      <c r="C541" s="5" t="s">
        <v>18</v>
      </c>
      <c r="D541" s="5" t="s">
        <v>62</v>
      </c>
      <c r="E541" s="5" t="s">
        <v>49</v>
      </c>
      <c r="F541" s="5" t="s">
        <v>94</v>
      </c>
      <c r="G541" s="5" t="s">
        <v>31</v>
      </c>
      <c r="H541" s="5" t="s">
        <v>51</v>
      </c>
      <c r="I541" s="5">
        <v>265</v>
      </c>
      <c r="J541" s="5">
        <v>649</v>
      </c>
      <c r="K541" s="5">
        <v>828.15</v>
      </c>
      <c r="L541" s="5">
        <v>894</v>
      </c>
      <c r="M541" s="5">
        <v>228</v>
      </c>
      <c r="N541" s="5">
        <v>5</v>
      </c>
      <c r="O541" s="5" t="s">
        <v>32</v>
      </c>
      <c r="P541" s="5">
        <v>7955</v>
      </c>
      <c r="Q541" s="5" t="s">
        <v>33</v>
      </c>
      <c r="R541" s="2">
        <v>219459.75</v>
      </c>
      <c r="S541" s="2">
        <v>47474.75</v>
      </c>
      <c r="T541" s="1">
        <v>45932</v>
      </c>
      <c r="U541" s="5">
        <v>10</v>
      </c>
    </row>
    <row r="542" spans="1:21" x14ac:dyDescent="0.3">
      <c r="A542" s="5" t="s">
        <v>603</v>
      </c>
      <c r="B542" s="1">
        <v>45873</v>
      </c>
      <c r="C542" s="5" t="s">
        <v>18</v>
      </c>
      <c r="D542" s="5" t="s">
        <v>53</v>
      </c>
      <c r="E542" s="5" t="s">
        <v>54</v>
      </c>
      <c r="F542" s="5" t="s">
        <v>55</v>
      </c>
      <c r="G542" s="5" t="s">
        <v>22</v>
      </c>
      <c r="H542" s="5" t="s">
        <v>23</v>
      </c>
      <c r="I542" s="5">
        <v>253</v>
      </c>
      <c r="J542" s="5">
        <v>2939</v>
      </c>
      <c r="K542" s="5">
        <v>3935.05</v>
      </c>
      <c r="L542" s="5">
        <v>1383</v>
      </c>
      <c r="M542" s="5">
        <v>202</v>
      </c>
      <c r="N542" s="5">
        <v>8</v>
      </c>
      <c r="O542" s="5" t="s">
        <v>24</v>
      </c>
      <c r="P542" s="5">
        <v>4690</v>
      </c>
      <c r="Q542" s="5" t="s">
        <v>40</v>
      </c>
      <c r="R542" s="2">
        <v>995567.65</v>
      </c>
      <c r="S542" s="2">
        <v>252000.65</v>
      </c>
      <c r="T542" s="1">
        <v>45873</v>
      </c>
      <c r="U542" s="5">
        <v>8</v>
      </c>
    </row>
    <row r="543" spans="1:21" x14ac:dyDescent="0.3">
      <c r="A543" s="5" t="s">
        <v>604</v>
      </c>
      <c r="B543" s="1">
        <v>45824</v>
      </c>
      <c r="C543" s="5" t="s">
        <v>18</v>
      </c>
      <c r="D543" s="5" t="s">
        <v>62</v>
      </c>
      <c r="E543" s="5" t="s">
        <v>20</v>
      </c>
      <c r="F543" s="5" t="s">
        <v>45</v>
      </c>
      <c r="G543" s="5" t="s">
        <v>38</v>
      </c>
      <c r="H543" s="5" t="s">
        <v>39</v>
      </c>
      <c r="I543" s="5">
        <v>195</v>
      </c>
      <c r="J543" s="5">
        <v>1116</v>
      </c>
      <c r="K543" s="5">
        <v>1360.2</v>
      </c>
      <c r="L543" s="5">
        <v>1337</v>
      </c>
      <c r="M543" s="5">
        <v>240</v>
      </c>
      <c r="N543" s="5">
        <v>7</v>
      </c>
      <c r="O543" s="5" t="s">
        <v>24</v>
      </c>
      <c r="P543" s="5">
        <v>3552</v>
      </c>
      <c r="Q543" s="5" t="s">
        <v>25</v>
      </c>
      <c r="R543" s="2">
        <v>265239</v>
      </c>
      <c r="S543" s="2">
        <v>47619</v>
      </c>
      <c r="T543" s="1">
        <v>45824</v>
      </c>
      <c r="U543" s="5">
        <v>6</v>
      </c>
    </row>
    <row r="544" spans="1:21" x14ac:dyDescent="0.3">
      <c r="A544" s="5" t="s">
        <v>605</v>
      </c>
      <c r="B544" s="1">
        <v>45912</v>
      </c>
      <c r="C544" s="5" t="s">
        <v>18</v>
      </c>
      <c r="D544" s="5" t="s">
        <v>62</v>
      </c>
      <c r="E544" s="5" t="s">
        <v>20</v>
      </c>
      <c r="F544" s="5" t="s">
        <v>37</v>
      </c>
      <c r="G544" s="5" t="s">
        <v>56</v>
      </c>
      <c r="H544" s="5" t="s">
        <v>39</v>
      </c>
      <c r="I544" s="5">
        <v>333</v>
      </c>
      <c r="J544" s="5">
        <v>3903</v>
      </c>
      <c r="K544" s="5">
        <v>4811.58</v>
      </c>
      <c r="L544" s="5">
        <v>1081</v>
      </c>
      <c r="M544" s="5">
        <v>220</v>
      </c>
      <c r="N544" s="5">
        <v>3</v>
      </c>
      <c r="O544" s="5" t="s">
        <v>32</v>
      </c>
      <c r="P544" s="5">
        <v>1226</v>
      </c>
      <c r="Q544" s="5" t="s">
        <v>33</v>
      </c>
      <c r="R544" s="2">
        <v>1602256.14</v>
      </c>
      <c r="S544" s="2">
        <v>302557.14</v>
      </c>
      <c r="T544" s="1">
        <v>45912</v>
      </c>
      <c r="U544" s="5">
        <v>9</v>
      </c>
    </row>
    <row r="545" spans="1:21" x14ac:dyDescent="0.3">
      <c r="A545" s="5" t="s">
        <v>606</v>
      </c>
      <c r="B545" s="1">
        <v>45681</v>
      </c>
      <c r="C545" s="5" t="s">
        <v>42</v>
      </c>
      <c r="D545" s="5" t="s">
        <v>28</v>
      </c>
      <c r="E545" s="5" t="s">
        <v>20</v>
      </c>
      <c r="F545" s="5" t="s">
        <v>21</v>
      </c>
      <c r="G545" s="5" t="s">
        <v>56</v>
      </c>
      <c r="H545" s="5" t="s">
        <v>51</v>
      </c>
      <c r="I545" s="5">
        <v>152</v>
      </c>
      <c r="J545" s="5">
        <v>3797</v>
      </c>
      <c r="K545" s="5">
        <v>4534.49</v>
      </c>
      <c r="L545" s="5">
        <v>651</v>
      </c>
      <c r="M545" s="5">
        <v>252</v>
      </c>
      <c r="N545" s="5">
        <v>6</v>
      </c>
      <c r="O545" s="5" t="s">
        <v>24</v>
      </c>
      <c r="P545" s="5">
        <v>2575</v>
      </c>
      <c r="Q545" s="5" t="s">
        <v>25</v>
      </c>
      <c r="R545" s="2">
        <v>689242.48</v>
      </c>
      <c r="S545" s="2">
        <v>112098.48</v>
      </c>
      <c r="T545" s="1">
        <v>45681</v>
      </c>
      <c r="U545" s="5">
        <v>1</v>
      </c>
    </row>
    <row r="546" spans="1:21" x14ac:dyDescent="0.3">
      <c r="A546" s="5" t="s">
        <v>607</v>
      </c>
      <c r="B546" s="1">
        <v>45734</v>
      </c>
      <c r="C546" s="5" t="s">
        <v>18</v>
      </c>
      <c r="D546" s="5" t="s">
        <v>36</v>
      </c>
      <c r="E546" s="5" t="s">
        <v>49</v>
      </c>
      <c r="F546" s="5" t="s">
        <v>50</v>
      </c>
      <c r="G546" s="5" t="s">
        <v>38</v>
      </c>
      <c r="H546" s="5" t="s">
        <v>39</v>
      </c>
      <c r="I546" s="5">
        <v>164</v>
      </c>
      <c r="J546" s="5">
        <v>836</v>
      </c>
      <c r="K546" s="5">
        <v>1069.3499999999999</v>
      </c>
      <c r="L546" s="5">
        <v>1344</v>
      </c>
      <c r="M546" s="5">
        <v>186</v>
      </c>
      <c r="N546" s="5">
        <v>6</v>
      </c>
      <c r="O546" s="5" t="s">
        <v>24</v>
      </c>
      <c r="P546" s="5">
        <v>1413</v>
      </c>
      <c r="Q546" s="5" t="s">
        <v>33</v>
      </c>
      <c r="R546" s="2">
        <v>175373.4</v>
      </c>
      <c r="S546" s="2">
        <v>38269.4</v>
      </c>
      <c r="T546" s="1">
        <v>45734</v>
      </c>
      <c r="U546" s="5">
        <v>3</v>
      </c>
    </row>
    <row r="547" spans="1:21" x14ac:dyDescent="0.3">
      <c r="A547" s="5" t="s">
        <v>608</v>
      </c>
      <c r="B547" s="1">
        <v>45956</v>
      </c>
      <c r="C547" s="5" t="s">
        <v>42</v>
      </c>
      <c r="D547" s="5" t="s">
        <v>36</v>
      </c>
      <c r="E547" s="5" t="s">
        <v>49</v>
      </c>
      <c r="F547" s="5" t="s">
        <v>75</v>
      </c>
      <c r="G547" s="5" t="s">
        <v>22</v>
      </c>
      <c r="H547" s="5" t="s">
        <v>51</v>
      </c>
      <c r="I547" s="5">
        <v>23</v>
      </c>
      <c r="J547" s="5">
        <v>2466</v>
      </c>
      <c r="K547" s="5">
        <v>3142.36</v>
      </c>
      <c r="L547" s="5">
        <v>622</v>
      </c>
      <c r="M547" s="5">
        <v>233</v>
      </c>
      <c r="N547" s="5">
        <v>3</v>
      </c>
      <c r="O547" s="5" t="s">
        <v>32</v>
      </c>
      <c r="P547" s="5">
        <v>7342</v>
      </c>
      <c r="Q547" s="5" t="s">
        <v>33</v>
      </c>
      <c r="R547" s="2">
        <v>72274.28</v>
      </c>
      <c r="S547" s="2">
        <v>15556.28</v>
      </c>
      <c r="T547" s="1">
        <v>45956</v>
      </c>
      <c r="U547" s="5">
        <v>10</v>
      </c>
    </row>
    <row r="548" spans="1:21" x14ac:dyDescent="0.3">
      <c r="A548" s="5" t="s">
        <v>609</v>
      </c>
      <c r="B548" s="1">
        <v>45867</v>
      </c>
      <c r="C548" s="5" t="s">
        <v>18</v>
      </c>
      <c r="D548" s="5" t="s">
        <v>36</v>
      </c>
      <c r="E548" s="5" t="s">
        <v>54</v>
      </c>
      <c r="F548" s="5" t="s">
        <v>63</v>
      </c>
      <c r="G548" s="5" t="s">
        <v>22</v>
      </c>
      <c r="H548" s="5" t="s">
        <v>39</v>
      </c>
      <c r="I548" s="5">
        <v>428</v>
      </c>
      <c r="J548" s="5">
        <v>2955</v>
      </c>
      <c r="K548" s="5">
        <v>4267.63</v>
      </c>
      <c r="L548" s="5">
        <v>198</v>
      </c>
      <c r="M548" s="5">
        <v>202</v>
      </c>
      <c r="N548" s="5">
        <v>1</v>
      </c>
      <c r="O548" s="5" t="s">
        <v>32</v>
      </c>
      <c r="P548" s="5">
        <v>4529</v>
      </c>
      <c r="Q548" s="5" t="s">
        <v>33</v>
      </c>
      <c r="R548" s="2">
        <v>1826545.64</v>
      </c>
      <c r="S548" s="2">
        <v>561805.64</v>
      </c>
      <c r="T548" s="1">
        <v>45867</v>
      </c>
      <c r="U548" s="5">
        <v>7</v>
      </c>
    </row>
    <row r="549" spans="1:21" x14ac:dyDescent="0.3">
      <c r="A549" s="5" t="s">
        <v>610</v>
      </c>
      <c r="B549" s="1">
        <v>45980</v>
      </c>
      <c r="C549" s="5" t="s">
        <v>42</v>
      </c>
      <c r="D549" s="5" t="s">
        <v>19</v>
      </c>
      <c r="E549" s="5" t="s">
        <v>29</v>
      </c>
      <c r="F549" s="5" t="s">
        <v>58</v>
      </c>
      <c r="G549" s="5" t="s">
        <v>22</v>
      </c>
      <c r="H549" s="5" t="s">
        <v>23</v>
      </c>
      <c r="I549" s="5">
        <v>476</v>
      </c>
      <c r="J549" s="5">
        <v>242</v>
      </c>
      <c r="K549" s="5">
        <v>319</v>
      </c>
      <c r="L549" s="5">
        <v>108</v>
      </c>
      <c r="M549" s="5">
        <v>113</v>
      </c>
      <c r="N549" s="5">
        <v>2</v>
      </c>
      <c r="O549" s="5" t="s">
        <v>32</v>
      </c>
      <c r="P549" s="5">
        <v>2064</v>
      </c>
      <c r="Q549" s="5" t="s">
        <v>33</v>
      </c>
      <c r="R549" s="2">
        <v>151844</v>
      </c>
      <c r="S549" s="2">
        <v>36652</v>
      </c>
      <c r="T549" s="1">
        <v>45980</v>
      </c>
      <c r="U549" s="5">
        <v>11</v>
      </c>
    </row>
    <row r="550" spans="1:21" x14ac:dyDescent="0.3">
      <c r="A550" s="5" t="s">
        <v>611</v>
      </c>
      <c r="B550" s="1">
        <v>45962</v>
      </c>
      <c r="C550" s="5" t="s">
        <v>18</v>
      </c>
      <c r="D550" s="5" t="s">
        <v>53</v>
      </c>
      <c r="E550" s="5" t="s">
        <v>49</v>
      </c>
      <c r="F550" s="5" t="s">
        <v>94</v>
      </c>
      <c r="G550" s="5" t="s">
        <v>38</v>
      </c>
      <c r="H550" s="5" t="s">
        <v>51</v>
      </c>
      <c r="I550" s="5">
        <v>125</v>
      </c>
      <c r="J550" s="5">
        <v>3740</v>
      </c>
      <c r="K550" s="5">
        <v>5548.02</v>
      </c>
      <c r="L550" s="5">
        <v>1460</v>
      </c>
      <c r="M550" s="5">
        <v>112</v>
      </c>
      <c r="N550" s="5">
        <v>2</v>
      </c>
      <c r="O550" s="5" t="s">
        <v>32</v>
      </c>
      <c r="P550" s="5">
        <v>5331</v>
      </c>
      <c r="Q550" s="5" t="s">
        <v>33</v>
      </c>
      <c r="R550" s="2">
        <v>693502.5</v>
      </c>
      <c r="S550" s="2">
        <v>226002.5</v>
      </c>
      <c r="T550" s="1">
        <v>45962</v>
      </c>
      <c r="U550" s="5">
        <v>11</v>
      </c>
    </row>
    <row r="551" spans="1:21" x14ac:dyDescent="0.3">
      <c r="A551" s="5" t="s">
        <v>612</v>
      </c>
      <c r="B551" s="1">
        <v>45662</v>
      </c>
      <c r="C551" s="5" t="s">
        <v>18</v>
      </c>
      <c r="D551" s="5" t="s">
        <v>19</v>
      </c>
      <c r="E551" s="5" t="s">
        <v>54</v>
      </c>
      <c r="F551" s="5" t="s">
        <v>78</v>
      </c>
      <c r="G551" s="5" t="s">
        <v>22</v>
      </c>
      <c r="H551" s="5" t="s">
        <v>51</v>
      </c>
      <c r="I551" s="5">
        <v>500</v>
      </c>
      <c r="J551" s="5">
        <v>614</v>
      </c>
      <c r="K551" s="5">
        <v>823</v>
      </c>
      <c r="L551" s="5">
        <v>1305</v>
      </c>
      <c r="M551" s="5">
        <v>286</v>
      </c>
      <c r="N551" s="5">
        <v>4</v>
      </c>
      <c r="O551" s="5" t="s">
        <v>32</v>
      </c>
      <c r="P551" s="5">
        <v>4213</v>
      </c>
      <c r="Q551" s="5" t="s">
        <v>33</v>
      </c>
      <c r="R551" s="2">
        <v>411500</v>
      </c>
      <c r="S551" s="2">
        <v>104500</v>
      </c>
      <c r="T551" s="1">
        <v>45662</v>
      </c>
      <c r="U551" s="5">
        <v>1</v>
      </c>
    </row>
    <row r="552" spans="1:21" x14ac:dyDescent="0.3">
      <c r="A552" s="5" t="s">
        <v>613</v>
      </c>
      <c r="B552" s="1">
        <v>45710</v>
      </c>
      <c r="C552" s="5" t="s">
        <v>27</v>
      </c>
      <c r="D552" s="5" t="s">
        <v>53</v>
      </c>
      <c r="E552" s="5" t="s">
        <v>29</v>
      </c>
      <c r="F552" s="5" t="s">
        <v>58</v>
      </c>
      <c r="G552" s="5" t="s">
        <v>31</v>
      </c>
      <c r="H552" s="5" t="s">
        <v>23</v>
      </c>
      <c r="I552" s="5">
        <v>189</v>
      </c>
      <c r="J552" s="5">
        <v>4913</v>
      </c>
      <c r="K552" s="5">
        <v>6051.3</v>
      </c>
      <c r="L552" s="5">
        <v>771</v>
      </c>
      <c r="M552" s="5">
        <v>91</v>
      </c>
      <c r="N552" s="5">
        <v>5</v>
      </c>
      <c r="O552" s="5" t="s">
        <v>32</v>
      </c>
      <c r="P552" s="5">
        <v>3879</v>
      </c>
      <c r="Q552" s="5" t="s">
        <v>25</v>
      </c>
      <c r="R552" s="2">
        <v>1143695.7</v>
      </c>
      <c r="S552" s="2">
        <v>215138.7</v>
      </c>
      <c r="T552" s="1">
        <v>45710</v>
      </c>
      <c r="U552" s="5">
        <v>2</v>
      </c>
    </row>
    <row r="553" spans="1:21" x14ac:dyDescent="0.3">
      <c r="A553" s="5" t="s">
        <v>614</v>
      </c>
      <c r="B553" s="1">
        <v>45962</v>
      </c>
      <c r="C553" s="5" t="s">
        <v>42</v>
      </c>
      <c r="D553" s="5" t="s">
        <v>62</v>
      </c>
      <c r="E553" s="5" t="s">
        <v>49</v>
      </c>
      <c r="F553" s="5" t="s">
        <v>50</v>
      </c>
      <c r="G553" s="5" t="s">
        <v>31</v>
      </c>
      <c r="H553" s="5" t="s">
        <v>23</v>
      </c>
      <c r="I553" s="5">
        <v>371</v>
      </c>
      <c r="J553" s="5">
        <v>3815</v>
      </c>
      <c r="K553" s="5">
        <v>4707.91</v>
      </c>
      <c r="L553" s="5">
        <v>899</v>
      </c>
      <c r="M553" s="5">
        <v>221</v>
      </c>
      <c r="N553" s="5">
        <v>7</v>
      </c>
      <c r="O553" s="5" t="s">
        <v>24</v>
      </c>
      <c r="P553" s="5">
        <v>5823</v>
      </c>
      <c r="Q553" s="5" t="s">
        <v>25</v>
      </c>
      <c r="R553" s="2">
        <v>1746634.61</v>
      </c>
      <c r="S553" s="2">
        <v>331269.61</v>
      </c>
      <c r="T553" s="1">
        <v>45962</v>
      </c>
      <c r="U553" s="5">
        <v>11</v>
      </c>
    </row>
    <row r="554" spans="1:21" x14ac:dyDescent="0.3">
      <c r="A554" s="5" t="s">
        <v>615</v>
      </c>
      <c r="B554" s="1">
        <v>45918</v>
      </c>
      <c r="C554" s="5" t="s">
        <v>42</v>
      </c>
      <c r="D554" s="5" t="s">
        <v>62</v>
      </c>
      <c r="E554" s="5" t="s">
        <v>49</v>
      </c>
      <c r="F554" s="5" t="s">
        <v>94</v>
      </c>
      <c r="G554" s="5" t="s">
        <v>31</v>
      </c>
      <c r="H554" s="5" t="s">
        <v>39</v>
      </c>
      <c r="I554" s="5">
        <v>93</v>
      </c>
      <c r="J554" s="5">
        <v>3797</v>
      </c>
      <c r="K554" s="5">
        <v>4507.3</v>
      </c>
      <c r="L554" s="5">
        <v>1711</v>
      </c>
      <c r="M554" s="5">
        <v>279</v>
      </c>
      <c r="N554" s="5">
        <v>8</v>
      </c>
      <c r="O554" s="5" t="s">
        <v>24</v>
      </c>
      <c r="P554" s="5">
        <v>6228</v>
      </c>
      <c r="Q554" s="5" t="s">
        <v>33</v>
      </c>
      <c r="R554" s="2">
        <v>419178.9</v>
      </c>
      <c r="S554" s="2">
        <v>66057.899999999994</v>
      </c>
      <c r="T554" s="1">
        <v>45918</v>
      </c>
      <c r="U554" s="5">
        <v>9</v>
      </c>
    </row>
    <row r="555" spans="1:21" x14ac:dyDescent="0.3">
      <c r="A555" s="5" t="s">
        <v>616</v>
      </c>
      <c r="B555" s="1">
        <v>46020</v>
      </c>
      <c r="C555" s="5" t="s">
        <v>27</v>
      </c>
      <c r="D555" s="5" t="s">
        <v>62</v>
      </c>
      <c r="E555" s="5" t="s">
        <v>20</v>
      </c>
      <c r="F555" s="5" t="s">
        <v>100</v>
      </c>
      <c r="G555" s="5" t="s">
        <v>38</v>
      </c>
      <c r="H555" s="5" t="s">
        <v>51</v>
      </c>
      <c r="I555" s="5">
        <v>301</v>
      </c>
      <c r="J555" s="5">
        <v>3039</v>
      </c>
      <c r="K555" s="5">
        <v>4151.96</v>
      </c>
      <c r="L555" s="5">
        <v>740</v>
      </c>
      <c r="M555" s="5">
        <v>243</v>
      </c>
      <c r="N555" s="5">
        <v>8</v>
      </c>
      <c r="O555" s="5" t="s">
        <v>24</v>
      </c>
      <c r="P555" s="5">
        <v>2719</v>
      </c>
      <c r="Q555" s="5" t="s">
        <v>25</v>
      </c>
      <c r="R555" s="2">
        <v>1249739.96</v>
      </c>
      <c r="S555" s="2">
        <v>335000.96000000002</v>
      </c>
      <c r="T555" s="1">
        <v>46020</v>
      </c>
      <c r="U555" s="5">
        <v>12</v>
      </c>
    </row>
    <row r="556" spans="1:21" x14ac:dyDescent="0.3">
      <c r="A556" s="5" t="s">
        <v>617</v>
      </c>
      <c r="B556" s="1">
        <v>45759</v>
      </c>
      <c r="C556" s="5" t="s">
        <v>27</v>
      </c>
      <c r="D556" s="5" t="s">
        <v>62</v>
      </c>
      <c r="E556" s="5" t="s">
        <v>29</v>
      </c>
      <c r="F556" s="5" t="s">
        <v>73</v>
      </c>
      <c r="G556" s="5" t="s">
        <v>31</v>
      </c>
      <c r="H556" s="5" t="s">
        <v>51</v>
      </c>
      <c r="I556" s="5">
        <v>103</v>
      </c>
      <c r="J556" s="5">
        <v>969</v>
      </c>
      <c r="K556" s="5">
        <v>1159.4000000000001</v>
      </c>
      <c r="L556" s="5">
        <v>1978</v>
      </c>
      <c r="M556" s="5">
        <v>288</v>
      </c>
      <c r="N556" s="5">
        <v>2</v>
      </c>
      <c r="O556" s="5" t="s">
        <v>32</v>
      </c>
      <c r="P556" s="5">
        <v>3415</v>
      </c>
      <c r="Q556" s="5" t="s">
        <v>33</v>
      </c>
      <c r="R556" s="2">
        <v>119418.2</v>
      </c>
      <c r="S556" s="2">
        <v>19611.2</v>
      </c>
      <c r="T556" s="1">
        <v>45759</v>
      </c>
      <c r="U556" s="5">
        <v>4</v>
      </c>
    </row>
    <row r="557" spans="1:21" x14ac:dyDescent="0.3">
      <c r="A557" s="5" t="s">
        <v>618</v>
      </c>
      <c r="B557" s="1">
        <v>45789</v>
      </c>
      <c r="C557" s="5" t="s">
        <v>18</v>
      </c>
      <c r="D557" s="5" t="s">
        <v>36</v>
      </c>
      <c r="E557" s="5" t="s">
        <v>49</v>
      </c>
      <c r="F557" s="5" t="s">
        <v>89</v>
      </c>
      <c r="G557" s="5" t="s">
        <v>56</v>
      </c>
      <c r="H557" s="5" t="s">
        <v>23</v>
      </c>
      <c r="I557" s="5">
        <v>101</v>
      </c>
      <c r="J557" s="5">
        <v>2587</v>
      </c>
      <c r="K557" s="5">
        <v>3216.02</v>
      </c>
      <c r="L557" s="5">
        <v>1315</v>
      </c>
      <c r="M557" s="5">
        <v>205</v>
      </c>
      <c r="N557" s="5">
        <v>4</v>
      </c>
      <c r="O557" s="5" t="s">
        <v>32</v>
      </c>
      <c r="P557" s="5">
        <v>2447</v>
      </c>
      <c r="Q557" s="5" t="s">
        <v>33</v>
      </c>
      <c r="R557" s="2">
        <v>324818.02</v>
      </c>
      <c r="S557" s="2">
        <v>63531.02</v>
      </c>
      <c r="T557" s="1">
        <v>45789</v>
      </c>
      <c r="U557" s="5">
        <v>5</v>
      </c>
    </row>
    <row r="558" spans="1:21" x14ac:dyDescent="0.3">
      <c r="A558" s="5" t="s">
        <v>619</v>
      </c>
      <c r="B558" s="1">
        <v>45876</v>
      </c>
      <c r="C558" s="5" t="s">
        <v>35</v>
      </c>
      <c r="D558" s="5" t="s">
        <v>19</v>
      </c>
      <c r="E558" s="5" t="s">
        <v>49</v>
      </c>
      <c r="F558" s="5" t="s">
        <v>94</v>
      </c>
      <c r="G558" s="5" t="s">
        <v>56</v>
      </c>
      <c r="H558" s="5" t="s">
        <v>23</v>
      </c>
      <c r="I558" s="5">
        <v>411</v>
      </c>
      <c r="J558" s="5">
        <v>2955</v>
      </c>
      <c r="K558" s="5">
        <v>4177.66</v>
      </c>
      <c r="L558" s="5">
        <v>1365</v>
      </c>
      <c r="M558" s="5">
        <v>236</v>
      </c>
      <c r="N558" s="5">
        <v>6</v>
      </c>
      <c r="O558" s="5" t="s">
        <v>24</v>
      </c>
      <c r="P558" s="5">
        <v>3323</v>
      </c>
      <c r="Q558" s="5" t="s">
        <v>33</v>
      </c>
      <c r="R558" s="2">
        <v>1717018.26</v>
      </c>
      <c r="S558" s="2">
        <v>502513.26</v>
      </c>
      <c r="T558" s="1">
        <v>45876</v>
      </c>
      <c r="U558" s="5">
        <v>8</v>
      </c>
    </row>
    <row r="559" spans="1:21" x14ac:dyDescent="0.3">
      <c r="A559" s="5" t="s">
        <v>620</v>
      </c>
      <c r="B559" s="1">
        <v>45659</v>
      </c>
      <c r="C559" s="5" t="s">
        <v>42</v>
      </c>
      <c r="D559" s="5" t="s">
        <v>53</v>
      </c>
      <c r="E559" s="5" t="s">
        <v>49</v>
      </c>
      <c r="F559" s="5" t="s">
        <v>75</v>
      </c>
      <c r="G559" s="5" t="s">
        <v>31</v>
      </c>
      <c r="H559" s="5" t="s">
        <v>23</v>
      </c>
      <c r="I559" s="5">
        <v>154</v>
      </c>
      <c r="J559" s="5">
        <v>3373</v>
      </c>
      <c r="K559" s="5">
        <v>4034.74</v>
      </c>
      <c r="L559" s="5">
        <v>1903</v>
      </c>
      <c r="M559" s="5">
        <v>125</v>
      </c>
      <c r="N559" s="5">
        <v>7</v>
      </c>
      <c r="O559" s="5" t="s">
        <v>24</v>
      </c>
      <c r="P559" s="5">
        <v>7267</v>
      </c>
      <c r="Q559" s="5" t="s">
        <v>33</v>
      </c>
      <c r="R559" s="2">
        <v>621349.96</v>
      </c>
      <c r="S559" s="2">
        <v>101907.96</v>
      </c>
      <c r="T559" s="1">
        <v>45659</v>
      </c>
      <c r="U559" s="5">
        <v>1</v>
      </c>
    </row>
    <row r="560" spans="1:21" x14ac:dyDescent="0.3">
      <c r="A560" s="5" t="s">
        <v>621</v>
      </c>
      <c r="B560" s="1">
        <v>45831</v>
      </c>
      <c r="C560" s="5" t="s">
        <v>27</v>
      </c>
      <c r="D560" s="5" t="s">
        <v>19</v>
      </c>
      <c r="E560" s="5" t="s">
        <v>54</v>
      </c>
      <c r="F560" s="5" t="s">
        <v>81</v>
      </c>
      <c r="G560" s="5" t="s">
        <v>22</v>
      </c>
      <c r="H560" s="5" t="s">
        <v>23</v>
      </c>
      <c r="I560" s="5">
        <v>292</v>
      </c>
      <c r="J560" s="5">
        <v>1150</v>
      </c>
      <c r="K560" s="5">
        <v>1387.64</v>
      </c>
      <c r="L560" s="5">
        <v>404</v>
      </c>
      <c r="M560" s="5">
        <v>247</v>
      </c>
      <c r="N560" s="5">
        <v>8</v>
      </c>
      <c r="O560" s="5" t="s">
        <v>24</v>
      </c>
      <c r="P560" s="5">
        <v>5527</v>
      </c>
      <c r="Q560" s="5" t="s">
        <v>40</v>
      </c>
      <c r="R560" s="2">
        <v>405190.88</v>
      </c>
      <c r="S560" s="2">
        <v>69390.880000000005</v>
      </c>
      <c r="T560" s="1">
        <v>45831</v>
      </c>
      <c r="U560" s="5">
        <v>6</v>
      </c>
    </row>
    <row r="561" spans="1:21" x14ac:dyDescent="0.3">
      <c r="A561" s="5" t="s">
        <v>622</v>
      </c>
      <c r="B561" s="1">
        <v>45717</v>
      </c>
      <c r="C561" s="5" t="s">
        <v>42</v>
      </c>
      <c r="D561" s="5" t="s">
        <v>19</v>
      </c>
      <c r="E561" s="5" t="s">
        <v>54</v>
      </c>
      <c r="F561" s="5" t="s">
        <v>78</v>
      </c>
      <c r="G561" s="5" t="s">
        <v>38</v>
      </c>
      <c r="H561" s="5" t="s">
        <v>51</v>
      </c>
      <c r="I561" s="5">
        <v>279</v>
      </c>
      <c r="J561" s="5">
        <v>2076</v>
      </c>
      <c r="K561" s="5">
        <v>2909.63</v>
      </c>
      <c r="L561" s="5">
        <v>1901</v>
      </c>
      <c r="M561" s="5">
        <v>164</v>
      </c>
      <c r="N561" s="5">
        <v>4</v>
      </c>
      <c r="O561" s="5" t="s">
        <v>32</v>
      </c>
      <c r="P561" s="5">
        <v>4640</v>
      </c>
      <c r="Q561" s="5" t="s">
        <v>33</v>
      </c>
      <c r="R561" s="2">
        <v>811786.77</v>
      </c>
      <c r="S561" s="2">
        <v>232582.77</v>
      </c>
      <c r="T561" s="1">
        <v>45717</v>
      </c>
      <c r="U561" s="5">
        <v>3</v>
      </c>
    </row>
    <row r="562" spans="1:21" x14ac:dyDescent="0.3">
      <c r="A562" s="5" t="s">
        <v>623</v>
      </c>
      <c r="B562" s="1">
        <v>45939</v>
      </c>
      <c r="C562" s="5" t="s">
        <v>18</v>
      </c>
      <c r="D562" s="5" t="s">
        <v>62</v>
      </c>
      <c r="E562" s="5" t="s">
        <v>20</v>
      </c>
      <c r="F562" s="5" t="s">
        <v>60</v>
      </c>
      <c r="G562" s="5" t="s">
        <v>22</v>
      </c>
      <c r="H562" s="5" t="s">
        <v>39</v>
      </c>
      <c r="I562" s="5">
        <v>69</v>
      </c>
      <c r="J562" s="5">
        <v>2398</v>
      </c>
      <c r="K562" s="5">
        <v>3571.55</v>
      </c>
      <c r="L562" s="5">
        <v>1872</v>
      </c>
      <c r="M562" s="5">
        <v>117</v>
      </c>
      <c r="N562" s="5">
        <v>7</v>
      </c>
      <c r="O562" s="5" t="s">
        <v>24</v>
      </c>
      <c r="P562" s="5">
        <v>6858</v>
      </c>
      <c r="Q562" s="5" t="s">
        <v>25</v>
      </c>
      <c r="R562" s="2">
        <v>246436.95</v>
      </c>
      <c r="S562" s="2">
        <v>80974.95</v>
      </c>
      <c r="T562" s="1">
        <v>45939</v>
      </c>
      <c r="U562" s="5">
        <v>10</v>
      </c>
    </row>
    <row r="563" spans="1:21" x14ac:dyDescent="0.3">
      <c r="A563" s="5" t="s">
        <v>624</v>
      </c>
      <c r="B563" s="1">
        <v>45872</v>
      </c>
      <c r="C563" s="5" t="s">
        <v>27</v>
      </c>
      <c r="D563" s="5" t="s">
        <v>62</v>
      </c>
      <c r="E563" s="5" t="s">
        <v>20</v>
      </c>
      <c r="F563" s="5" t="s">
        <v>60</v>
      </c>
      <c r="G563" s="5" t="s">
        <v>31</v>
      </c>
      <c r="H563" s="5" t="s">
        <v>39</v>
      </c>
      <c r="I563" s="5">
        <v>330</v>
      </c>
      <c r="J563" s="5">
        <v>4425</v>
      </c>
      <c r="K563" s="5">
        <v>5347.5</v>
      </c>
      <c r="L563" s="5">
        <v>1067</v>
      </c>
      <c r="M563" s="5">
        <v>264</v>
      </c>
      <c r="N563" s="5">
        <v>7</v>
      </c>
      <c r="O563" s="5" t="s">
        <v>24</v>
      </c>
      <c r="P563" s="5">
        <v>6245</v>
      </c>
      <c r="Q563" s="5" t="s">
        <v>46</v>
      </c>
      <c r="R563" s="2">
        <v>1764675</v>
      </c>
      <c r="S563" s="2">
        <v>304425</v>
      </c>
      <c r="T563" s="1">
        <v>45872</v>
      </c>
      <c r="U563" s="5">
        <v>8</v>
      </c>
    </row>
    <row r="564" spans="1:21" x14ac:dyDescent="0.3">
      <c r="A564" s="5" t="s">
        <v>625</v>
      </c>
      <c r="B564" s="1">
        <v>46009</v>
      </c>
      <c r="C564" s="5" t="s">
        <v>27</v>
      </c>
      <c r="D564" s="5" t="s">
        <v>62</v>
      </c>
      <c r="E564" s="5" t="s">
        <v>49</v>
      </c>
      <c r="F564" s="5" t="s">
        <v>65</v>
      </c>
      <c r="G564" s="5" t="s">
        <v>38</v>
      </c>
      <c r="H564" s="5" t="s">
        <v>51</v>
      </c>
      <c r="I564" s="5">
        <v>426</v>
      </c>
      <c r="J564" s="5">
        <v>4214</v>
      </c>
      <c r="K564" s="5">
        <v>6031.5</v>
      </c>
      <c r="L564" s="5">
        <v>728</v>
      </c>
      <c r="M564" s="5">
        <v>193</v>
      </c>
      <c r="N564" s="5">
        <v>6</v>
      </c>
      <c r="O564" s="5" t="s">
        <v>24</v>
      </c>
      <c r="P564" s="5">
        <v>6201</v>
      </c>
      <c r="Q564" s="5" t="s">
        <v>40</v>
      </c>
      <c r="R564" s="2">
        <v>2569419</v>
      </c>
      <c r="S564" s="2">
        <v>774255</v>
      </c>
      <c r="T564" s="1">
        <v>46009</v>
      </c>
      <c r="U564" s="5">
        <v>12</v>
      </c>
    </row>
    <row r="565" spans="1:21" x14ac:dyDescent="0.3">
      <c r="A565" s="5" t="s">
        <v>626</v>
      </c>
      <c r="B565" s="1">
        <v>45963</v>
      </c>
      <c r="C565" s="5" t="s">
        <v>42</v>
      </c>
      <c r="D565" s="5" t="s">
        <v>19</v>
      </c>
      <c r="E565" s="5" t="s">
        <v>54</v>
      </c>
      <c r="F565" s="5" t="s">
        <v>78</v>
      </c>
      <c r="G565" s="5" t="s">
        <v>22</v>
      </c>
      <c r="H565" s="5" t="s">
        <v>39</v>
      </c>
      <c r="I565" s="5">
        <v>325</v>
      </c>
      <c r="J565" s="5">
        <v>611</v>
      </c>
      <c r="K565" s="5">
        <v>817.24</v>
      </c>
      <c r="L565" s="5">
        <v>1852</v>
      </c>
      <c r="M565" s="5">
        <v>104</v>
      </c>
      <c r="N565" s="5">
        <v>6</v>
      </c>
      <c r="O565" s="5" t="s">
        <v>24</v>
      </c>
      <c r="P565" s="5">
        <v>7674</v>
      </c>
      <c r="Q565" s="5" t="s">
        <v>46</v>
      </c>
      <c r="R565" s="2">
        <v>265603</v>
      </c>
      <c r="S565" s="2">
        <v>67028</v>
      </c>
      <c r="T565" s="1">
        <v>45963</v>
      </c>
      <c r="U565" s="5">
        <v>11</v>
      </c>
    </row>
    <row r="566" spans="1:21" x14ac:dyDescent="0.3">
      <c r="A566" s="5" t="s">
        <v>627</v>
      </c>
      <c r="B566" s="1">
        <v>45764</v>
      </c>
      <c r="C566" s="5" t="s">
        <v>18</v>
      </c>
      <c r="D566" s="5" t="s">
        <v>19</v>
      </c>
      <c r="E566" s="5" t="s">
        <v>49</v>
      </c>
      <c r="F566" s="5" t="s">
        <v>94</v>
      </c>
      <c r="G566" s="5" t="s">
        <v>22</v>
      </c>
      <c r="H566" s="5" t="s">
        <v>39</v>
      </c>
      <c r="I566" s="5">
        <v>27</v>
      </c>
      <c r="J566" s="5">
        <v>2916</v>
      </c>
      <c r="K566" s="5">
        <v>3438.89</v>
      </c>
      <c r="L566" s="5">
        <v>499</v>
      </c>
      <c r="M566" s="5">
        <v>119</v>
      </c>
      <c r="N566" s="5">
        <v>7</v>
      </c>
      <c r="O566" s="5" t="s">
        <v>24</v>
      </c>
      <c r="P566" s="5">
        <v>6422</v>
      </c>
      <c r="Q566" s="5" t="s">
        <v>25</v>
      </c>
      <c r="R566" s="2">
        <v>92850.03</v>
      </c>
      <c r="S566" s="2">
        <v>14118.03</v>
      </c>
      <c r="T566" s="1">
        <v>45764</v>
      </c>
      <c r="U566" s="5">
        <v>4</v>
      </c>
    </row>
    <row r="567" spans="1:21" x14ac:dyDescent="0.3">
      <c r="A567" s="5" t="s">
        <v>628</v>
      </c>
      <c r="B567" s="1">
        <v>45993</v>
      </c>
      <c r="C567" s="5" t="s">
        <v>42</v>
      </c>
      <c r="D567" s="5" t="s">
        <v>36</v>
      </c>
      <c r="E567" s="5" t="s">
        <v>54</v>
      </c>
      <c r="F567" s="5" t="s">
        <v>87</v>
      </c>
      <c r="G567" s="5" t="s">
        <v>22</v>
      </c>
      <c r="H567" s="5" t="s">
        <v>51</v>
      </c>
      <c r="I567" s="5">
        <v>119</v>
      </c>
      <c r="J567" s="5">
        <v>1625</v>
      </c>
      <c r="K567" s="5">
        <v>2338.71</v>
      </c>
      <c r="L567" s="5">
        <v>1874</v>
      </c>
      <c r="M567" s="5">
        <v>105</v>
      </c>
      <c r="N567" s="5">
        <v>4</v>
      </c>
      <c r="O567" s="5" t="s">
        <v>32</v>
      </c>
      <c r="P567" s="5">
        <v>4039</v>
      </c>
      <c r="Q567" s="5" t="s">
        <v>25</v>
      </c>
      <c r="R567" s="2">
        <v>278306.49</v>
      </c>
      <c r="S567" s="2">
        <v>84931.49</v>
      </c>
      <c r="T567" s="1">
        <v>45993</v>
      </c>
      <c r="U567" s="5">
        <v>12</v>
      </c>
    </row>
    <row r="568" spans="1:21" x14ac:dyDescent="0.3">
      <c r="A568" s="5" t="s">
        <v>629</v>
      </c>
      <c r="B568" s="1">
        <v>45816</v>
      </c>
      <c r="C568" s="5" t="s">
        <v>27</v>
      </c>
      <c r="D568" s="5" t="s">
        <v>36</v>
      </c>
      <c r="E568" s="5" t="s">
        <v>29</v>
      </c>
      <c r="F568" s="5" t="s">
        <v>58</v>
      </c>
      <c r="G568" s="5" t="s">
        <v>22</v>
      </c>
      <c r="H568" s="5" t="s">
        <v>51</v>
      </c>
      <c r="I568" s="5">
        <v>269</v>
      </c>
      <c r="J568" s="5">
        <v>1193</v>
      </c>
      <c r="K568" s="5">
        <v>1487.4</v>
      </c>
      <c r="L568" s="5">
        <v>1360</v>
      </c>
      <c r="M568" s="5">
        <v>82</v>
      </c>
      <c r="N568" s="5">
        <v>6</v>
      </c>
      <c r="O568" s="5" t="s">
        <v>24</v>
      </c>
      <c r="P568" s="5">
        <v>348</v>
      </c>
      <c r="Q568" s="5" t="s">
        <v>33</v>
      </c>
      <c r="R568" s="2">
        <v>400110.6</v>
      </c>
      <c r="S568" s="2">
        <v>79193.600000000006</v>
      </c>
      <c r="T568" s="1">
        <v>45816</v>
      </c>
      <c r="U568" s="5">
        <v>6</v>
      </c>
    </row>
    <row r="569" spans="1:21" x14ac:dyDescent="0.3">
      <c r="A569" s="5" t="s">
        <v>630</v>
      </c>
      <c r="B569" s="1">
        <v>45839</v>
      </c>
      <c r="C569" s="5" t="s">
        <v>18</v>
      </c>
      <c r="D569" s="5" t="s">
        <v>36</v>
      </c>
      <c r="E569" s="5" t="s">
        <v>20</v>
      </c>
      <c r="F569" s="5" t="s">
        <v>60</v>
      </c>
      <c r="G569" s="5" t="s">
        <v>22</v>
      </c>
      <c r="H569" s="5" t="s">
        <v>51</v>
      </c>
      <c r="I569" s="5">
        <v>241</v>
      </c>
      <c r="J569" s="5">
        <v>2843</v>
      </c>
      <c r="K569" s="5">
        <v>3890.99</v>
      </c>
      <c r="L569" s="5">
        <v>606</v>
      </c>
      <c r="M569" s="5">
        <v>237</v>
      </c>
      <c r="N569" s="5">
        <v>8</v>
      </c>
      <c r="O569" s="5" t="s">
        <v>24</v>
      </c>
      <c r="P569" s="5">
        <v>428</v>
      </c>
      <c r="Q569" s="5" t="s">
        <v>40</v>
      </c>
      <c r="R569" s="2">
        <v>937728.59</v>
      </c>
      <c r="S569" s="2">
        <v>252565.59</v>
      </c>
      <c r="T569" s="1">
        <v>45839</v>
      </c>
      <c r="U569" s="5">
        <v>7</v>
      </c>
    </row>
    <row r="570" spans="1:21" x14ac:dyDescent="0.3">
      <c r="A570" s="5" t="s">
        <v>631</v>
      </c>
      <c r="B570" s="1">
        <v>45883</v>
      </c>
      <c r="C570" s="5" t="s">
        <v>27</v>
      </c>
      <c r="D570" s="5" t="s">
        <v>53</v>
      </c>
      <c r="E570" s="5" t="s">
        <v>20</v>
      </c>
      <c r="F570" s="5" t="s">
        <v>45</v>
      </c>
      <c r="G570" s="5" t="s">
        <v>22</v>
      </c>
      <c r="H570" s="5" t="s">
        <v>39</v>
      </c>
      <c r="I570" s="5">
        <v>195</v>
      </c>
      <c r="J570" s="5">
        <v>4587</v>
      </c>
      <c r="K570" s="5">
        <v>5817.45</v>
      </c>
      <c r="L570" s="5">
        <v>218</v>
      </c>
      <c r="M570" s="5">
        <v>282</v>
      </c>
      <c r="N570" s="5">
        <v>1</v>
      </c>
      <c r="O570" s="5" t="s">
        <v>24</v>
      </c>
      <c r="P570" s="5">
        <v>5594</v>
      </c>
      <c r="Q570" s="5" t="s">
        <v>25</v>
      </c>
      <c r="R570" s="2">
        <v>1134402.75</v>
      </c>
      <c r="S570" s="2">
        <v>239937.75</v>
      </c>
      <c r="T570" s="1">
        <v>45883</v>
      </c>
      <c r="U570" s="5">
        <v>8</v>
      </c>
    </row>
    <row r="571" spans="1:21" x14ac:dyDescent="0.3">
      <c r="A571" s="5" t="s">
        <v>632</v>
      </c>
      <c r="B571" s="1">
        <v>45732</v>
      </c>
      <c r="C571" s="5" t="s">
        <v>27</v>
      </c>
      <c r="D571" s="5" t="s">
        <v>62</v>
      </c>
      <c r="E571" s="5" t="s">
        <v>20</v>
      </c>
      <c r="F571" s="5" t="s">
        <v>100</v>
      </c>
      <c r="G571" s="5" t="s">
        <v>56</v>
      </c>
      <c r="H571" s="5" t="s">
        <v>23</v>
      </c>
      <c r="I571" s="5">
        <v>472</v>
      </c>
      <c r="J571" s="5">
        <v>3414</v>
      </c>
      <c r="K571" s="5">
        <v>4531.74</v>
      </c>
      <c r="L571" s="5">
        <v>287</v>
      </c>
      <c r="M571" s="5">
        <v>204</v>
      </c>
      <c r="N571" s="5">
        <v>9</v>
      </c>
      <c r="O571" s="5" t="s">
        <v>24</v>
      </c>
      <c r="P571" s="5">
        <v>5860</v>
      </c>
      <c r="Q571" s="5" t="s">
        <v>46</v>
      </c>
      <c r="R571" s="2">
        <v>2138981.2799999998</v>
      </c>
      <c r="S571" s="2">
        <v>527573.28</v>
      </c>
      <c r="T571" s="1">
        <v>45732</v>
      </c>
      <c r="U571" s="5">
        <v>3</v>
      </c>
    </row>
    <row r="572" spans="1:21" x14ac:dyDescent="0.3">
      <c r="A572" s="5" t="s">
        <v>633</v>
      </c>
      <c r="B572" s="1">
        <v>46020</v>
      </c>
      <c r="C572" s="5" t="s">
        <v>42</v>
      </c>
      <c r="D572" s="5" t="s">
        <v>53</v>
      </c>
      <c r="E572" s="5" t="s">
        <v>54</v>
      </c>
      <c r="F572" s="5" t="s">
        <v>87</v>
      </c>
      <c r="G572" s="5" t="s">
        <v>38</v>
      </c>
      <c r="H572" s="5" t="s">
        <v>39</v>
      </c>
      <c r="I572" s="5">
        <v>310</v>
      </c>
      <c r="J572" s="5">
        <v>813</v>
      </c>
      <c r="K572" s="5">
        <v>967.22</v>
      </c>
      <c r="L572" s="5">
        <v>461</v>
      </c>
      <c r="M572" s="5">
        <v>125</v>
      </c>
      <c r="N572" s="5">
        <v>7</v>
      </c>
      <c r="O572" s="5" t="s">
        <v>24</v>
      </c>
      <c r="P572" s="5">
        <v>3909</v>
      </c>
      <c r="Q572" s="5" t="s">
        <v>25</v>
      </c>
      <c r="R572" s="2">
        <v>299838.2</v>
      </c>
      <c r="S572" s="2">
        <v>47808.2</v>
      </c>
      <c r="T572" s="1">
        <v>46020</v>
      </c>
      <c r="U572" s="5">
        <v>12</v>
      </c>
    </row>
    <row r="573" spans="1:21" x14ac:dyDescent="0.3">
      <c r="A573" s="5" t="s">
        <v>634</v>
      </c>
      <c r="B573" s="1">
        <v>45955</v>
      </c>
      <c r="C573" s="5" t="s">
        <v>42</v>
      </c>
      <c r="D573" s="5" t="s">
        <v>36</v>
      </c>
      <c r="E573" s="5" t="s">
        <v>54</v>
      </c>
      <c r="F573" s="5" t="s">
        <v>81</v>
      </c>
      <c r="G573" s="5" t="s">
        <v>31</v>
      </c>
      <c r="H573" s="5" t="s">
        <v>51</v>
      </c>
      <c r="I573" s="5">
        <v>370</v>
      </c>
      <c r="J573" s="5">
        <v>2921</v>
      </c>
      <c r="K573" s="5">
        <v>3612.92</v>
      </c>
      <c r="L573" s="5">
        <v>1912</v>
      </c>
      <c r="M573" s="5">
        <v>266</v>
      </c>
      <c r="N573" s="5">
        <v>3</v>
      </c>
      <c r="O573" s="5" t="s">
        <v>32</v>
      </c>
      <c r="P573" s="5">
        <v>6490</v>
      </c>
      <c r="Q573" s="5" t="s">
        <v>33</v>
      </c>
      <c r="R573" s="2">
        <v>1336780.3999999999</v>
      </c>
      <c r="S573" s="2">
        <v>256010.4</v>
      </c>
      <c r="T573" s="1">
        <v>45955</v>
      </c>
      <c r="U573" s="5">
        <v>10</v>
      </c>
    </row>
    <row r="574" spans="1:21" x14ac:dyDescent="0.3">
      <c r="A574" s="5" t="s">
        <v>635</v>
      </c>
      <c r="B574" s="1">
        <v>45868</v>
      </c>
      <c r="C574" s="5" t="s">
        <v>27</v>
      </c>
      <c r="D574" s="5" t="s">
        <v>19</v>
      </c>
      <c r="E574" s="5" t="s">
        <v>20</v>
      </c>
      <c r="F574" s="5" t="s">
        <v>100</v>
      </c>
      <c r="G574" s="5" t="s">
        <v>31</v>
      </c>
      <c r="H574" s="5" t="s">
        <v>23</v>
      </c>
      <c r="I574" s="5">
        <v>456</v>
      </c>
      <c r="J574" s="5">
        <v>1768</v>
      </c>
      <c r="K574" s="5">
        <v>2643.24</v>
      </c>
      <c r="L574" s="5">
        <v>1975</v>
      </c>
      <c r="M574" s="5">
        <v>236</v>
      </c>
      <c r="N574" s="5">
        <v>10</v>
      </c>
      <c r="O574" s="5" t="s">
        <v>24</v>
      </c>
      <c r="P574" s="5">
        <v>5094</v>
      </c>
      <c r="Q574" s="5" t="s">
        <v>46</v>
      </c>
      <c r="R574" s="2">
        <v>1205317.44</v>
      </c>
      <c r="S574" s="2">
        <v>399109.44</v>
      </c>
      <c r="T574" s="1">
        <v>45868</v>
      </c>
      <c r="U574" s="5">
        <v>7</v>
      </c>
    </row>
    <row r="575" spans="1:21" x14ac:dyDescent="0.3">
      <c r="A575" s="5" t="s">
        <v>636</v>
      </c>
      <c r="B575" s="1">
        <v>45687</v>
      </c>
      <c r="C575" s="5" t="s">
        <v>42</v>
      </c>
      <c r="D575" s="5" t="s">
        <v>36</v>
      </c>
      <c r="E575" s="5" t="s">
        <v>49</v>
      </c>
      <c r="F575" s="5" t="s">
        <v>50</v>
      </c>
      <c r="G575" s="5" t="s">
        <v>22</v>
      </c>
      <c r="H575" s="5" t="s">
        <v>51</v>
      </c>
      <c r="I575" s="5">
        <v>330</v>
      </c>
      <c r="J575" s="5">
        <v>3802</v>
      </c>
      <c r="K575" s="5">
        <v>5331.14</v>
      </c>
      <c r="L575" s="5">
        <v>1717</v>
      </c>
      <c r="M575" s="5">
        <v>226</v>
      </c>
      <c r="N575" s="5">
        <v>6</v>
      </c>
      <c r="O575" s="5" t="s">
        <v>24</v>
      </c>
      <c r="P575" s="5">
        <v>2650</v>
      </c>
      <c r="Q575" s="5" t="s">
        <v>25</v>
      </c>
      <c r="R575" s="2">
        <v>1759276.2</v>
      </c>
      <c r="S575" s="2">
        <v>504616.2</v>
      </c>
      <c r="T575" s="1">
        <v>45687</v>
      </c>
      <c r="U575" s="5">
        <v>1</v>
      </c>
    </row>
    <row r="576" spans="1:21" x14ac:dyDescent="0.3">
      <c r="A576" s="5" t="s">
        <v>637</v>
      </c>
      <c r="B576" s="1">
        <v>45847</v>
      </c>
      <c r="C576" s="5" t="s">
        <v>35</v>
      </c>
      <c r="D576" s="5" t="s">
        <v>28</v>
      </c>
      <c r="E576" s="5" t="s">
        <v>49</v>
      </c>
      <c r="F576" s="5" t="s">
        <v>65</v>
      </c>
      <c r="G576" s="5" t="s">
        <v>56</v>
      </c>
      <c r="H576" s="5" t="s">
        <v>39</v>
      </c>
      <c r="I576" s="5">
        <v>160</v>
      </c>
      <c r="J576" s="5">
        <v>3923</v>
      </c>
      <c r="K576" s="5">
        <v>4523.8</v>
      </c>
      <c r="L576" s="5">
        <v>1222</v>
      </c>
      <c r="M576" s="5">
        <v>214</v>
      </c>
      <c r="N576" s="5">
        <v>8</v>
      </c>
      <c r="O576" s="5" t="s">
        <v>24</v>
      </c>
      <c r="P576" s="5">
        <v>2675</v>
      </c>
      <c r="Q576" s="5" t="s">
        <v>40</v>
      </c>
      <c r="R576" s="2">
        <v>723808</v>
      </c>
      <c r="S576" s="2">
        <v>96128</v>
      </c>
      <c r="T576" s="1">
        <v>45847</v>
      </c>
      <c r="U576" s="5">
        <v>7</v>
      </c>
    </row>
    <row r="577" spans="1:21" x14ac:dyDescent="0.3">
      <c r="A577" s="5" t="s">
        <v>638</v>
      </c>
      <c r="B577" s="1">
        <v>45704</v>
      </c>
      <c r="C577" s="5" t="s">
        <v>42</v>
      </c>
      <c r="D577" s="5" t="s">
        <v>19</v>
      </c>
      <c r="E577" s="5" t="s">
        <v>20</v>
      </c>
      <c r="F577" s="5" t="s">
        <v>21</v>
      </c>
      <c r="G577" s="5" t="s">
        <v>22</v>
      </c>
      <c r="H577" s="5" t="s">
        <v>51</v>
      </c>
      <c r="I577" s="5">
        <v>285</v>
      </c>
      <c r="J577" s="5">
        <v>4317</v>
      </c>
      <c r="K577" s="5">
        <v>6254.05</v>
      </c>
      <c r="L577" s="5">
        <v>424</v>
      </c>
      <c r="M577" s="5">
        <v>105</v>
      </c>
      <c r="N577" s="5">
        <v>5</v>
      </c>
      <c r="O577" s="5" t="s">
        <v>32</v>
      </c>
      <c r="P577" s="5">
        <v>7905</v>
      </c>
      <c r="Q577" s="5" t="s">
        <v>33</v>
      </c>
      <c r="R577" s="2">
        <v>1782404.25</v>
      </c>
      <c r="S577" s="2">
        <v>552059.25</v>
      </c>
      <c r="T577" s="1">
        <v>45704</v>
      </c>
      <c r="U577" s="5">
        <v>2</v>
      </c>
    </row>
    <row r="578" spans="1:21" x14ac:dyDescent="0.3">
      <c r="A578" s="5" t="s">
        <v>639</v>
      </c>
      <c r="B578" s="1">
        <v>45733</v>
      </c>
      <c r="C578" s="5" t="s">
        <v>18</v>
      </c>
      <c r="D578" s="5" t="s">
        <v>36</v>
      </c>
      <c r="E578" s="5" t="s">
        <v>29</v>
      </c>
      <c r="F578" s="5" t="s">
        <v>58</v>
      </c>
      <c r="G578" s="5" t="s">
        <v>31</v>
      </c>
      <c r="H578" s="5" t="s">
        <v>39</v>
      </c>
      <c r="I578" s="5">
        <v>24</v>
      </c>
      <c r="J578" s="5">
        <v>4312</v>
      </c>
      <c r="K578" s="5">
        <v>4975.7</v>
      </c>
      <c r="L578" s="5">
        <v>1303</v>
      </c>
      <c r="M578" s="5">
        <v>122</v>
      </c>
      <c r="N578" s="5">
        <v>3</v>
      </c>
      <c r="O578" s="5" t="s">
        <v>32</v>
      </c>
      <c r="P578" s="5">
        <v>7962</v>
      </c>
      <c r="Q578" s="5" t="s">
        <v>33</v>
      </c>
      <c r="R578" s="2">
        <v>119416.8</v>
      </c>
      <c r="S578" s="2">
        <v>15928.8</v>
      </c>
      <c r="T578" s="1">
        <v>45733</v>
      </c>
      <c r="U578" s="5">
        <v>3</v>
      </c>
    </row>
    <row r="579" spans="1:21" x14ac:dyDescent="0.3">
      <c r="A579" s="5" t="s">
        <v>640</v>
      </c>
      <c r="B579" s="1">
        <v>45915</v>
      </c>
      <c r="C579" s="5" t="s">
        <v>42</v>
      </c>
      <c r="D579" s="5" t="s">
        <v>53</v>
      </c>
      <c r="E579" s="5" t="s">
        <v>49</v>
      </c>
      <c r="F579" s="5" t="s">
        <v>94</v>
      </c>
      <c r="G579" s="5" t="s">
        <v>22</v>
      </c>
      <c r="H579" s="5" t="s">
        <v>51</v>
      </c>
      <c r="I579" s="5">
        <v>294</v>
      </c>
      <c r="J579" s="5">
        <v>2803</v>
      </c>
      <c r="K579" s="5">
        <v>3455.82</v>
      </c>
      <c r="L579" s="5">
        <v>591</v>
      </c>
      <c r="M579" s="5">
        <v>288</v>
      </c>
      <c r="N579" s="5">
        <v>4</v>
      </c>
      <c r="O579" s="5" t="s">
        <v>32</v>
      </c>
      <c r="P579" s="5">
        <v>4579</v>
      </c>
      <c r="Q579" s="5" t="s">
        <v>33</v>
      </c>
      <c r="R579" s="2">
        <v>1016011.08</v>
      </c>
      <c r="S579" s="2">
        <v>191929.08</v>
      </c>
      <c r="T579" s="1">
        <v>45915</v>
      </c>
      <c r="U579" s="5">
        <v>9</v>
      </c>
    </row>
    <row r="580" spans="1:21" x14ac:dyDescent="0.3">
      <c r="A580" s="5" t="s">
        <v>641</v>
      </c>
      <c r="B580" s="1">
        <v>45757</v>
      </c>
      <c r="C580" s="5" t="s">
        <v>35</v>
      </c>
      <c r="D580" s="5" t="s">
        <v>28</v>
      </c>
      <c r="E580" s="5" t="s">
        <v>54</v>
      </c>
      <c r="F580" s="5" t="s">
        <v>81</v>
      </c>
      <c r="G580" s="5" t="s">
        <v>38</v>
      </c>
      <c r="H580" s="5" t="s">
        <v>39</v>
      </c>
      <c r="I580" s="5">
        <v>73</v>
      </c>
      <c r="J580" s="5">
        <v>2106</v>
      </c>
      <c r="K580" s="5">
        <v>2740.33</v>
      </c>
      <c r="L580" s="5">
        <v>1509</v>
      </c>
      <c r="M580" s="5">
        <v>282</v>
      </c>
      <c r="N580" s="5">
        <v>3</v>
      </c>
      <c r="O580" s="5" t="s">
        <v>32</v>
      </c>
      <c r="P580" s="5">
        <v>3749</v>
      </c>
      <c r="Q580" s="5" t="s">
        <v>33</v>
      </c>
      <c r="R580" s="2">
        <v>200044.09</v>
      </c>
      <c r="S580" s="2">
        <v>46306.09</v>
      </c>
      <c r="T580" s="1">
        <v>45757</v>
      </c>
      <c r="U580" s="5">
        <v>4</v>
      </c>
    </row>
    <row r="581" spans="1:21" x14ac:dyDescent="0.3">
      <c r="A581" s="5" t="s">
        <v>642</v>
      </c>
      <c r="B581" s="1">
        <v>45880</v>
      </c>
      <c r="C581" s="5" t="s">
        <v>18</v>
      </c>
      <c r="D581" s="5" t="s">
        <v>28</v>
      </c>
      <c r="E581" s="5" t="s">
        <v>49</v>
      </c>
      <c r="F581" s="5" t="s">
        <v>65</v>
      </c>
      <c r="G581" s="5" t="s">
        <v>56</v>
      </c>
      <c r="H581" s="5" t="s">
        <v>51</v>
      </c>
      <c r="I581" s="5">
        <v>290</v>
      </c>
      <c r="J581" s="5">
        <v>3039</v>
      </c>
      <c r="K581" s="5">
        <v>4229.99</v>
      </c>
      <c r="L581" s="5">
        <v>1756</v>
      </c>
      <c r="M581" s="5">
        <v>264</v>
      </c>
      <c r="N581" s="5">
        <v>10</v>
      </c>
      <c r="O581" s="5" t="s">
        <v>24</v>
      </c>
      <c r="P581" s="5">
        <v>3347</v>
      </c>
      <c r="Q581" s="5" t="s">
        <v>40</v>
      </c>
      <c r="R581" s="2">
        <v>1226697.1000000001</v>
      </c>
      <c r="S581" s="2">
        <v>345387.1</v>
      </c>
      <c r="T581" s="1">
        <v>45880</v>
      </c>
      <c r="U581" s="5">
        <v>8</v>
      </c>
    </row>
    <row r="582" spans="1:21" x14ac:dyDescent="0.3">
      <c r="A582" s="5" t="s">
        <v>643</v>
      </c>
      <c r="B582" s="1">
        <v>45763</v>
      </c>
      <c r="C582" s="5" t="s">
        <v>27</v>
      </c>
      <c r="D582" s="5" t="s">
        <v>36</v>
      </c>
      <c r="E582" s="5" t="s">
        <v>20</v>
      </c>
      <c r="F582" s="5" t="s">
        <v>45</v>
      </c>
      <c r="G582" s="5" t="s">
        <v>38</v>
      </c>
      <c r="H582" s="5" t="s">
        <v>39</v>
      </c>
      <c r="I582" s="5">
        <v>206</v>
      </c>
      <c r="J582" s="5">
        <v>200</v>
      </c>
      <c r="K582" s="5">
        <v>243.54</v>
      </c>
      <c r="L582" s="5">
        <v>707</v>
      </c>
      <c r="M582" s="5">
        <v>183</v>
      </c>
      <c r="N582" s="5">
        <v>2</v>
      </c>
      <c r="O582" s="5" t="s">
        <v>32</v>
      </c>
      <c r="P582" s="5">
        <v>3724</v>
      </c>
      <c r="Q582" s="5" t="s">
        <v>25</v>
      </c>
      <c r="R582" s="2">
        <v>50169.24</v>
      </c>
      <c r="S582" s="2">
        <v>8969.24</v>
      </c>
      <c r="T582" s="1">
        <v>45763</v>
      </c>
      <c r="U582" s="5">
        <v>4</v>
      </c>
    </row>
    <row r="583" spans="1:21" x14ac:dyDescent="0.3">
      <c r="A583" s="5" t="s">
        <v>644</v>
      </c>
      <c r="B583" s="1">
        <v>45913</v>
      </c>
      <c r="C583" s="5" t="s">
        <v>35</v>
      </c>
      <c r="D583" s="5" t="s">
        <v>19</v>
      </c>
      <c r="E583" s="5" t="s">
        <v>54</v>
      </c>
      <c r="F583" s="5" t="s">
        <v>63</v>
      </c>
      <c r="G583" s="5" t="s">
        <v>38</v>
      </c>
      <c r="H583" s="5" t="s">
        <v>39</v>
      </c>
      <c r="I583" s="5">
        <v>270</v>
      </c>
      <c r="J583" s="5">
        <v>3691</v>
      </c>
      <c r="K583" s="5">
        <v>5483.95</v>
      </c>
      <c r="L583" s="5">
        <v>348</v>
      </c>
      <c r="M583" s="5">
        <v>232</v>
      </c>
      <c r="N583" s="5">
        <v>1</v>
      </c>
      <c r="O583" s="5" t="s">
        <v>32</v>
      </c>
      <c r="P583" s="5">
        <v>6380</v>
      </c>
      <c r="Q583" s="5" t="s">
        <v>33</v>
      </c>
      <c r="R583" s="2">
        <v>1480666.5</v>
      </c>
      <c r="S583" s="2">
        <v>484096.5</v>
      </c>
      <c r="T583" s="1">
        <v>45913</v>
      </c>
      <c r="U583" s="5">
        <v>9</v>
      </c>
    </row>
    <row r="584" spans="1:21" x14ac:dyDescent="0.3">
      <c r="A584" s="5" t="s">
        <v>645</v>
      </c>
      <c r="B584" s="1">
        <v>45681</v>
      </c>
      <c r="C584" s="5" t="s">
        <v>27</v>
      </c>
      <c r="D584" s="5" t="s">
        <v>19</v>
      </c>
      <c r="E584" s="5" t="s">
        <v>54</v>
      </c>
      <c r="F584" s="5" t="s">
        <v>87</v>
      </c>
      <c r="G584" s="5" t="s">
        <v>38</v>
      </c>
      <c r="H584" s="5" t="s">
        <v>51</v>
      </c>
      <c r="I584" s="5">
        <v>472</v>
      </c>
      <c r="J584" s="5">
        <v>1604</v>
      </c>
      <c r="K584" s="5">
        <v>1972.18</v>
      </c>
      <c r="L584" s="5">
        <v>170</v>
      </c>
      <c r="M584" s="5">
        <v>103</v>
      </c>
      <c r="N584" s="5">
        <v>7</v>
      </c>
      <c r="O584" s="5" t="s">
        <v>24</v>
      </c>
      <c r="P584" s="5">
        <v>5467</v>
      </c>
      <c r="Q584" s="5" t="s">
        <v>25</v>
      </c>
      <c r="R584" s="2">
        <v>930868.96</v>
      </c>
      <c r="S584" s="2">
        <v>173780.96</v>
      </c>
      <c r="T584" s="1">
        <v>45681</v>
      </c>
      <c r="U584" s="5">
        <v>1</v>
      </c>
    </row>
    <row r="585" spans="1:21" x14ac:dyDescent="0.3">
      <c r="A585" s="5" t="s">
        <v>646</v>
      </c>
      <c r="B585" s="1">
        <v>45897</v>
      </c>
      <c r="C585" s="5" t="s">
        <v>27</v>
      </c>
      <c r="D585" s="5" t="s">
        <v>53</v>
      </c>
      <c r="E585" s="5" t="s">
        <v>20</v>
      </c>
      <c r="F585" s="5" t="s">
        <v>45</v>
      </c>
      <c r="G585" s="5" t="s">
        <v>22</v>
      </c>
      <c r="H585" s="5" t="s">
        <v>51</v>
      </c>
      <c r="I585" s="5">
        <v>185</v>
      </c>
      <c r="J585" s="5">
        <v>227</v>
      </c>
      <c r="K585" s="5">
        <v>262.87</v>
      </c>
      <c r="L585" s="5">
        <v>1487</v>
      </c>
      <c r="M585" s="5">
        <v>185</v>
      </c>
      <c r="N585" s="5">
        <v>4</v>
      </c>
      <c r="O585" s="5" t="s">
        <v>32</v>
      </c>
      <c r="P585" s="5">
        <v>6297</v>
      </c>
      <c r="Q585" s="5" t="s">
        <v>33</v>
      </c>
      <c r="R585" s="2">
        <v>48630.95</v>
      </c>
      <c r="S585" s="2">
        <v>6635.95</v>
      </c>
      <c r="T585" s="1">
        <v>45897</v>
      </c>
      <c r="U585" s="5">
        <v>8</v>
      </c>
    </row>
    <row r="586" spans="1:21" x14ac:dyDescent="0.3">
      <c r="A586" s="5" t="s">
        <v>647</v>
      </c>
      <c r="B586" s="1">
        <v>45815</v>
      </c>
      <c r="C586" s="5" t="s">
        <v>42</v>
      </c>
      <c r="D586" s="5" t="s">
        <v>19</v>
      </c>
      <c r="E586" s="5" t="s">
        <v>29</v>
      </c>
      <c r="F586" s="5" t="s">
        <v>30</v>
      </c>
      <c r="G586" s="5" t="s">
        <v>22</v>
      </c>
      <c r="H586" s="5" t="s">
        <v>23</v>
      </c>
      <c r="I586" s="5">
        <v>89</v>
      </c>
      <c r="J586" s="5">
        <v>4565</v>
      </c>
      <c r="K586" s="5">
        <v>6267.91</v>
      </c>
      <c r="L586" s="5">
        <v>256</v>
      </c>
      <c r="M586" s="5">
        <v>295</v>
      </c>
      <c r="N586" s="5">
        <v>7</v>
      </c>
      <c r="O586" s="5" t="s">
        <v>24</v>
      </c>
      <c r="P586" s="5">
        <v>3129</v>
      </c>
      <c r="Q586" s="5" t="s">
        <v>33</v>
      </c>
      <c r="R586" s="2">
        <v>557843.99</v>
      </c>
      <c r="S586" s="2">
        <v>151558.99</v>
      </c>
      <c r="T586" s="1">
        <v>45815</v>
      </c>
      <c r="U586" s="5">
        <v>6</v>
      </c>
    </row>
    <row r="587" spans="1:21" x14ac:dyDescent="0.3">
      <c r="A587" s="5" t="s">
        <v>648</v>
      </c>
      <c r="B587" s="1">
        <v>45731</v>
      </c>
      <c r="C587" s="5" t="s">
        <v>27</v>
      </c>
      <c r="D587" s="5" t="s">
        <v>36</v>
      </c>
      <c r="E587" s="5" t="s">
        <v>29</v>
      </c>
      <c r="F587" s="5" t="s">
        <v>30</v>
      </c>
      <c r="G587" s="5" t="s">
        <v>56</v>
      </c>
      <c r="H587" s="5" t="s">
        <v>23</v>
      </c>
      <c r="I587" s="5">
        <v>434</v>
      </c>
      <c r="J587" s="5">
        <v>700</v>
      </c>
      <c r="K587" s="5">
        <v>895.63</v>
      </c>
      <c r="L587" s="5">
        <v>1594</v>
      </c>
      <c r="M587" s="5">
        <v>84</v>
      </c>
      <c r="N587" s="5">
        <v>4</v>
      </c>
      <c r="O587" s="5" t="s">
        <v>32</v>
      </c>
      <c r="P587" s="5">
        <v>3054</v>
      </c>
      <c r="Q587" s="5" t="s">
        <v>33</v>
      </c>
      <c r="R587" s="2">
        <v>388703.42</v>
      </c>
      <c r="S587" s="2">
        <v>84903.42</v>
      </c>
      <c r="T587" s="1">
        <v>45731</v>
      </c>
      <c r="U587" s="5">
        <v>3</v>
      </c>
    </row>
    <row r="588" spans="1:21" x14ac:dyDescent="0.3">
      <c r="A588" s="5" t="s">
        <v>649</v>
      </c>
      <c r="B588" s="1">
        <v>45816</v>
      </c>
      <c r="C588" s="5" t="s">
        <v>35</v>
      </c>
      <c r="D588" s="5" t="s">
        <v>36</v>
      </c>
      <c r="E588" s="5" t="s">
        <v>54</v>
      </c>
      <c r="F588" s="5" t="s">
        <v>81</v>
      </c>
      <c r="G588" s="5" t="s">
        <v>56</v>
      </c>
      <c r="H588" s="5" t="s">
        <v>39</v>
      </c>
      <c r="I588" s="5">
        <v>37</v>
      </c>
      <c r="J588" s="5">
        <v>4960</v>
      </c>
      <c r="K588" s="5">
        <v>6600.99</v>
      </c>
      <c r="L588" s="5">
        <v>716</v>
      </c>
      <c r="M588" s="5">
        <v>106</v>
      </c>
      <c r="N588" s="5">
        <v>4</v>
      </c>
      <c r="O588" s="5" t="s">
        <v>24</v>
      </c>
      <c r="P588" s="5">
        <v>3630</v>
      </c>
      <c r="Q588" s="5" t="s">
        <v>33</v>
      </c>
      <c r="R588" s="2">
        <v>244236.63</v>
      </c>
      <c r="S588" s="2">
        <v>60716.63</v>
      </c>
      <c r="T588" s="1">
        <v>45816</v>
      </c>
      <c r="U588" s="5">
        <v>6</v>
      </c>
    </row>
    <row r="589" spans="1:21" x14ac:dyDescent="0.3">
      <c r="A589" s="5" t="s">
        <v>650</v>
      </c>
      <c r="B589" s="1">
        <v>45827</v>
      </c>
      <c r="C589" s="5" t="s">
        <v>27</v>
      </c>
      <c r="D589" s="5" t="s">
        <v>62</v>
      </c>
      <c r="E589" s="5" t="s">
        <v>20</v>
      </c>
      <c r="F589" s="5" t="s">
        <v>45</v>
      </c>
      <c r="G589" s="5" t="s">
        <v>31</v>
      </c>
      <c r="H589" s="5" t="s">
        <v>23</v>
      </c>
      <c r="I589" s="5">
        <v>15</v>
      </c>
      <c r="J589" s="5">
        <v>423</v>
      </c>
      <c r="K589" s="5">
        <v>594.03</v>
      </c>
      <c r="L589" s="5">
        <v>971</v>
      </c>
      <c r="M589" s="5">
        <v>223</v>
      </c>
      <c r="N589" s="5">
        <v>3</v>
      </c>
      <c r="O589" s="5" t="s">
        <v>32</v>
      </c>
      <c r="P589" s="5">
        <v>316</v>
      </c>
      <c r="Q589" s="5" t="s">
        <v>33</v>
      </c>
      <c r="R589" s="2">
        <v>8910.4500000000007</v>
      </c>
      <c r="S589" s="2">
        <v>2565.4499999999998</v>
      </c>
      <c r="T589" s="1">
        <v>45827</v>
      </c>
      <c r="U589" s="5">
        <v>6</v>
      </c>
    </row>
    <row r="590" spans="1:21" x14ac:dyDescent="0.3">
      <c r="A590" s="5" t="s">
        <v>651</v>
      </c>
      <c r="B590" s="1">
        <v>45862</v>
      </c>
      <c r="C590" s="5" t="s">
        <v>42</v>
      </c>
      <c r="D590" s="5" t="s">
        <v>53</v>
      </c>
      <c r="E590" s="5" t="s">
        <v>49</v>
      </c>
      <c r="F590" s="5" t="s">
        <v>89</v>
      </c>
      <c r="G590" s="5" t="s">
        <v>22</v>
      </c>
      <c r="H590" s="5" t="s">
        <v>39</v>
      </c>
      <c r="I590" s="5">
        <v>196</v>
      </c>
      <c r="J590" s="5">
        <v>2274</v>
      </c>
      <c r="K590" s="5">
        <v>2968.03</v>
      </c>
      <c r="L590" s="5">
        <v>1607</v>
      </c>
      <c r="M590" s="5">
        <v>247</v>
      </c>
      <c r="N590" s="5">
        <v>1</v>
      </c>
      <c r="O590" s="5" t="s">
        <v>32</v>
      </c>
      <c r="P590" s="5">
        <v>4432</v>
      </c>
      <c r="Q590" s="5" t="s">
        <v>33</v>
      </c>
      <c r="R590" s="2">
        <v>581733.88</v>
      </c>
      <c r="S590" s="2">
        <v>136029.88</v>
      </c>
      <c r="T590" s="1">
        <v>45862</v>
      </c>
      <c r="U590" s="5">
        <v>7</v>
      </c>
    </row>
    <row r="591" spans="1:21" x14ac:dyDescent="0.3">
      <c r="A591" s="5" t="s">
        <v>652</v>
      </c>
      <c r="B591" s="1">
        <v>45670</v>
      </c>
      <c r="C591" s="5" t="s">
        <v>27</v>
      </c>
      <c r="D591" s="5" t="s">
        <v>19</v>
      </c>
      <c r="E591" s="5" t="s">
        <v>49</v>
      </c>
      <c r="F591" s="5" t="s">
        <v>89</v>
      </c>
      <c r="G591" s="5" t="s">
        <v>38</v>
      </c>
      <c r="H591" s="5" t="s">
        <v>51</v>
      </c>
      <c r="I591" s="5">
        <v>212</v>
      </c>
      <c r="J591" s="5">
        <v>906</v>
      </c>
      <c r="K591" s="5">
        <v>1077.3399999999999</v>
      </c>
      <c r="L591" s="5">
        <v>1150</v>
      </c>
      <c r="M591" s="5">
        <v>126</v>
      </c>
      <c r="N591" s="5">
        <v>3</v>
      </c>
      <c r="O591" s="5" t="s">
        <v>32</v>
      </c>
      <c r="P591" s="5">
        <v>4460</v>
      </c>
      <c r="Q591" s="5" t="s">
        <v>33</v>
      </c>
      <c r="R591" s="2">
        <v>228396.08</v>
      </c>
      <c r="S591" s="2">
        <v>36324.080000000002</v>
      </c>
      <c r="T591" s="1">
        <v>45670</v>
      </c>
      <c r="U591" s="5">
        <v>1</v>
      </c>
    </row>
    <row r="592" spans="1:21" x14ac:dyDescent="0.3">
      <c r="A592" s="5" t="s">
        <v>653</v>
      </c>
      <c r="B592" s="1">
        <v>45946</v>
      </c>
      <c r="C592" s="5" t="s">
        <v>18</v>
      </c>
      <c r="D592" s="5" t="s">
        <v>62</v>
      </c>
      <c r="E592" s="5" t="s">
        <v>49</v>
      </c>
      <c r="F592" s="5" t="s">
        <v>94</v>
      </c>
      <c r="G592" s="5" t="s">
        <v>31</v>
      </c>
      <c r="H592" s="5" t="s">
        <v>23</v>
      </c>
      <c r="I592" s="5">
        <v>123</v>
      </c>
      <c r="J592" s="5">
        <v>571</v>
      </c>
      <c r="K592" s="5">
        <v>818.49</v>
      </c>
      <c r="L592" s="5">
        <v>1510</v>
      </c>
      <c r="M592" s="5">
        <v>173</v>
      </c>
      <c r="N592" s="5">
        <v>1</v>
      </c>
      <c r="O592" s="5" t="s">
        <v>32</v>
      </c>
      <c r="P592" s="5">
        <v>7305</v>
      </c>
      <c r="Q592" s="5" t="s">
        <v>33</v>
      </c>
      <c r="R592" s="2">
        <v>100674.27</v>
      </c>
      <c r="S592" s="2">
        <v>30441.27</v>
      </c>
      <c r="T592" s="1">
        <v>45946</v>
      </c>
      <c r="U592" s="5">
        <v>10</v>
      </c>
    </row>
    <row r="593" spans="1:21" x14ac:dyDescent="0.3">
      <c r="A593" s="5" t="s">
        <v>654</v>
      </c>
      <c r="B593" s="1">
        <v>45790</v>
      </c>
      <c r="C593" s="5" t="s">
        <v>27</v>
      </c>
      <c r="D593" s="5" t="s">
        <v>19</v>
      </c>
      <c r="E593" s="5" t="s">
        <v>49</v>
      </c>
      <c r="F593" s="5" t="s">
        <v>65</v>
      </c>
      <c r="G593" s="5" t="s">
        <v>56</v>
      </c>
      <c r="H593" s="5" t="s">
        <v>51</v>
      </c>
      <c r="I593" s="5">
        <v>437</v>
      </c>
      <c r="J593" s="5">
        <v>1586</v>
      </c>
      <c r="K593" s="5">
        <v>2294.44</v>
      </c>
      <c r="L593" s="5">
        <v>1309</v>
      </c>
      <c r="M593" s="5">
        <v>186</v>
      </c>
      <c r="N593" s="5">
        <v>4</v>
      </c>
      <c r="O593" s="5" t="s">
        <v>32</v>
      </c>
      <c r="P593" s="5">
        <v>1380</v>
      </c>
      <c r="Q593" s="5" t="s">
        <v>33</v>
      </c>
      <c r="R593" s="2">
        <v>1002670.28</v>
      </c>
      <c r="S593" s="2">
        <v>309588.28000000003</v>
      </c>
      <c r="T593" s="1">
        <v>45790</v>
      </c>
      <c r="U593" s="5">
        <v>5</v>
      </c>
    </row>
    <row r="594" spans="1:21" x14ac:dyDescent="0.3">
      <c r="A594" s="5" t="s">
        <v>655</v>
      </c>
      <c r="B594" s="1">
        <v>45816</v>
      </c>
      <c r="C594" s="5" t="s">
        <v>42</v>
      </c>
      <c r="D594" s="5" t="s">
        <v>53</v>
      </c>
      <c r="E594" s="5" t="s">
        <v>49</v>
      </c>
      <c r="F594" s="5" t="s">
        <v>50</v>
      </c>
      <c r="G594" s="5" t="s">
        <v>38</v>
      </c>
      <c r="H594" s="5" t="s">
        <v>51</v>
      </c>
      <c r="I594" s="5">
        <v>95</v>
      </c>
      <c r="J594" s="5">
        <v>923</v>
      </c>
      <c r="K594" s="5">
        <v>1310.22</v>
      </c>
      <c r="L594" s="5">
        <v>580</v>
      </c>
      <c r="M594" s="5">
        <v>226</v>
      </c>
      <c r="N594" s="5">
        <v>7</v>
      </c>
      <c r="O594" s="5" t="s">
        <v>24</v>
      </c>
      <c r="P594" s="5">
        <v>4333</v>
      </c>
      <c r="Q594" s="5" t="s">
        <v>46</v>
      </c>
      <c r="R594" s="2">
        <v>124470.9</v>
      </c>
      <c r="S594" s="2">
        <v>36785.9</v>
      </c>
      <c r="T594" s="1">
        <v>45816</v>
      </c>
      <c r="U594" s="5">
        <v>6</v>
      </c>
    </row>
    <row r="595" spans="1:21" x14ac:dyDescent="0.3">
      <c r="A595" s="5" t="s">
        <v>656</v>
      </c>
      <c r="B595" s="1">
        <v>45817</v>
      </c>
      <c r="C595" s="5" t="s">
        <v>35</v>
      </c>
      <c r="D595" s="5" t="s">
        <v>36</v>
      </c>
      <c r="E595" s="5" t="s">
        <v>29</v>
      </c>
      <c r="F595" s="5" t="s">
        <v>73</v>
      </c>
      <c r="G595" s="5" t="s">
        <v>22</v>
      </c>
      <c r="H595" s="5" t="s">
        <v>39</v>
      </c>
      <c r="I595" s="5">
        <v>117</v>
      </c>
      <c r="J595" s="5">
        <v>1765</v>
      </c>
      <c r="K595" s="5">
        <v>2299.9</v>
      </c>
      <c r="L595" s="5">
        <v>226</v>
      </c>
      <c r="M595" s="5">
        <v>222</v>
      </c>
      <c r="N595" s="5">
        <v>7</v>
      </c>
      <c r="O595" s="5" t="s">
        <v>24</v>
      </c>
      <c r="P595" s="5">
        <v>2471</v>
      </c>
      <c r="Q595" s="5" t="s">
        <v>40</v>
      </c>
      <c r="R595" s="2">
        <v>269088.3</v>
      </c>
      <c r="S595" s="2">
        <v>62583.3</v>
      </c>
      <c r="T595" s="1">
        <v>45817</v>
      </c>
      <c r="U595" s="5">
        <v>6</v>
      </c>
    </row>
    <row r="596" spans="1:21" x14ac:dyDescent="0.3">
      <c r="A596" s="5" t="s">
        <v>657</v>
      </c>
      <c r="B596" s="1">
        <v>45699</v>
      </c>
      <c r="C596" s="5" t="s">
        <v>27</v>
      </c>
      <c r="D596" s="5" t="s">
        <v>28</v>
      </c>
      <c r="E596" s="5" t="s">
        <v>54</v>
      </c>
      <c r="F596" s="5" t="s">
        <v>78</v>
      </c>
      <c r="G596" s="5" t="s">
        <v>56</v>
      </c>
      <c r="H596" s="5" t="s">
        <v>23</v>
      </c>
      <c r="I596" s="5">
        <v>218</v>
      </c>
      <c r="J596" s="5">
        <v>2465</v>
      </c>
      <c r="K596" s="5">
        <v>3277.13</v>
      </c>
      <c r="L596" s="5">
        <v>496</v>
      </c>
      <c r="M596" s="5">
        <v>164</v>
      </c>
      <c r="N596" s="5">
        <v>8</v>
      </c>
      <c r="O596" s="5" t="s">
        <v>24</v>
      </c>
      <c r="P596" s="5">
        <v>3968</v>
      </c>
      <c r="Q596" s="5" t="s">
        <v>33</v>
      </c>
      <c r="R596" s="2">
        <v>714414.34</v>
      </c>
      <c r="S596" s="2">
        <v>177044.34</v>
      </c>
      <c r="T596" s="1">
        <v>45699</v>
      </c>
      <c r="U596" s="5">
        <v>2</v>
      </c>
    </row>
    <row r="597" spans="1:21" x14ac:dyDescent="0.3">
      <c r="A597" s="5" t="s">
        <v>658</v>
      </c>
      <c r="B597" s="1">
        <v>45899</v>
      </c>
      <c r="C597" s="5" t="s">
        <v>27</v>
      </c>
      <c r="D597" s="5" t="s">
        <v>53</v>
      </c>
      <c r="E597" s="5" t="s">
        <v>54</v>
      </c>
      <c r="F597" s="5" t="s">
        <v>63</v>
      </c>
      <c r="G597" s="5" t="s">
        <v>56</v>
      </c>
      <c r="H597" s="5" t="s">
        <v>51</v>
      </c>
      <c r="I597" s="5">
        <v>263</v>
      </c>
      <c r="J597" s="5">
        <v>276</v>
      </c>
      <c r="K597" s="5">
        <v>317.92</v>
      </c>
      <c r="L597" s="5">
        <v>1574</v>
      </c>
      <c r="M597" s="5">
        <v>224</v>
      </c>
      <c r="N597" s="5">
        <v>10</v>
      </c>
      <c r="O597" s="5" t="s">
        <v>24</v>
      </c>
      <c r="P597" s="5">
        <v>6521</v>
      </c>
      <c r="Q597" s="5" t="s">
        <v>33</v>
      </c>
      <c r="R597" s="2">
        <v>83612.960000000006</v>
      </c>
      <c r="S597" s="2">
        <v>11024.96</v>
      </c>
      <c r="T597" s="1">
        <v>45899</v>
      </c>
      <c r="U597" s="5">
        <v>8</v>
      </c>
    </row>
    <row r="598" spans="1:21" x14ac:dyDescent="0.3">
      <c r="A598" s="5" t="s">
        <v>659</v>
      </c>
      <c r="B598" s="1">
        <v>45715</v>
      </c>
      <c r="C598" s="5" t="s">
        <v>18</v>
      </c>
      <c r="D598" s="5" t="s">
        <v>53</v>
      </c>
      <c r="E598" s="5" t="s">
        <v>29</v>
      </c>
      <c r="F598" s="5" t="s">
        <v>58</v>
      </c>
      <c r="G598" s="5" t="s">
        <v>31</v>
      </c>
      <c r="H598" s="5" t="s">
        <v>23</v>
      </c>
      <c r="I598" s="5">
        <v>32</v>
      </c>
      <c r="J598" s="5">
        <v>1016</v>
      </c>
      <c r="K598" s="5">
        <v>1247.08</v>
      </c>
      <c r="L598" s="5">
        <v>288</v>
      </c>
      <c r="M598" s="5">
        <v>289</v>
      </c>
      <c r="N598" s="5">
        <v>5</v>
      </c>
      <c r="O598" s="5" t="s">
        <v>32</v>
      </c>
      <c r="P598" s="5">
        <v>6483</v>
      </c>
      <c r="Q598" s="5" t="s">
        <v>33</v>
      </c>
      <c r="R598" s="2">
        <v>39906.559999999998</v>
      </c>
      <c r="S598" s="2">
        <v>7394.56</v>
      </c>
      <c r="T598" s="1">
        <v>45715</v>
      </c>
      <c r="U598" s="5">
        <v>2</v>
      </c>
    </row>
    <row r="599" spans="1:21" x14ac:dyDescent="0.3">
      <c r="A599" s="5" t="s">
        <v>660</v>
      </c>
      <c r="B599" s="1">
        <v>45711</v>
      </c>
      <c r="C599" s="5" t="s">
        <v>27</v>
      </c>
      <c r="D599" s="5" t="s">
        <v>19</v>
      </c>
      <c r="E599" s="5" t="s">
        <v>29</v>
      </c>
      <c r="F599" s="5" t="s">
        <v>73</v>
      </c>
      <c r="G599" s="5" t="s">
        <v>31</v>
      </c>
      <c r="H599" s="5" t="s">
        <v>39</v>
      </c>
      <c r="I599" s="5">
        <v>99</v>
      </c>
      <c r="J599" s="5">
        <v>4906</v>
      </c>
      <c r="K599" s="5">
        <v>6986.1</v>
      </c>
      <c r="L599" s="5">
        <v>1523</v>
      </c>
      <c r="M599" s="5">
        <v>261</v>
      </c>
      <c r="N599" s="5">
        <v>1</v>
      </c>
      <c r="O599" s="5" t="s">
        <v>32</v>
      </c>
      <c r="P599" s="5">
        <v>3751</v>
      </c>
      <c r="Q599" s="5" t="s">
        <v>33</v>
      </c>
      <c r="R599" s="2">
        <v>691623.9</v>
      </c>
      <c r="S599" s="2">
        <v>205929.9</v>
      </c>
      <c r="T599" s="1">
        <v>45711</v>
      </c>
      <c r="U599" s="5">
        <v>2</v>
      </c>
    </row>
    <row r="600" spans="1:21" x14ac:dyDescent="0.3">
      <c r="A600" s="5" t="s">
        <v>661</v>
      </c>
      <c r="B600" s="1">
        <v>45812</v>
      </c>
      <c r="C600" s="5" t="s">
        <v>42</v>
      </c>
      <c r="D600" s="5" t="s">
        <v>36</v>
      </c>
      <c r="E600" s="5" t="s">
        <v>49</v>
      </c>
      <c r="F600" s="5" t="s">
        <v>65</v>
      </c>
      <c r="G600" s="5" t="s">
        <v>56</v>
      </c>
      <c r="H600" s="5" t="s">
        <v>39</v>
      </c>
      <c r="I600" s="5">
        <v>86</v>
      </c>
      <c r="J600" s="5">
        <v>4604</v>
      </c>
      <c r="K600" s="5">
        <v>5415.43</v>
      </c>
      <c r="L600" s="5">
        <v>174</v>
      </c>
      <c r="M600" s="5">
        <v>93</v>
      </c>
      <c r="N600" s="5">
        <v>9</v>
      </c>
      <c r="O600" s="5" t="s">
        <v>24</v>
      </c>
      <c r="P600" s="5">
        <v>7068</v>
      </c>
      <c r="Q600" s="5" t="s">
        <v>46</v>
      </c>
      <c r="R600" s="2">
        <v>465726.98</v>
      </c>
      <c r="S600" s="2">
        <v>69782.98</v>
      </c>
      <c r="T600" s="1">
        <v>45812</v>
      </c>
      <c r="U600" s="5">
        <v>6</v>
      </c>
    </row>
    <row r="601" spans="1:21" x14ac:dyDescent="0.3">
      <c r="A601" s="5" t="s">
        <v>662</v>
      </c>
      <c r="B601" s="1">
        <v>45717</v>
      </c>
      <c r="C601" s="5" t="s">
        <v>42</v>
      </c>
      <c r="D601" s="5" t="s">
        <v>36</v>
      </c>
      <c r="E601" s="5" t="s">
        <v>20</v>
      </c>
      <c r="F601" s="5" t="s">
        <v>45</v>
      </c>
      <c r="G601" s="5" t="s">
        <v>56</v>
      </c>
      <c r="H601" s="5" t="s">
        <v>23</v>
      </c>
      <c r="I601" s="5">
        <v>500</v>
      </c>
      <c r="J601" s="5">
        <v>2439</v>
      </c>
      <c r="K601" s="5">
        <v>3234.1</v>
      </c>
      <c r="L601" s="5">
        <v>52</v>
      </c>
      <c r="M601" s="5">
        <v>285</v>
      </c>
      <c r="N601" s="5">
        <v>7</v>
      </c>
      <c r="O601" s="5" t="s">
        <v>24</v>
      </c>
      <c r="P601" s="5">
        <v>6919</v>
      </c>
      <c r="Q601" s="5" t="s">
        <v>46</v>
      </c>
      <c r="R601" s="2">
        <v>1617050</v>
      </c>
      <c r="S601" s="2">
        <v>397550</v>
      </c>
      <c r="T601" s="1">
        <v>45717</v>
      </c>
      <c r="U601" s="5">
        <v>3</v>
      </c>
    </row>
    <row r="602" spans="1:21" x14ac:dyDescent="0.3">
      <c r="A602" s="5" t="s">
        <v>663</v>
      </c>
      <c r="B602" s="1">
        <v>45949</v>
      </c>
      <c r="C602" s="5" t="s">
        <v>18</v>
      </c>
      <c r="D602" s="5" t="s">
        <v>53</v>
      </c>
      <c r="E602" s="5" t="s">
        <v>20</v>
      </c>
      <c r="F602" s="5" t="s">
        <v>45</v>
      </c>
      <c r="G602" s="5" t="s">
        <v>31</v>
      </c>
      <c r="H602" s="5" t="s">
        <v>23</v>
      </c>
      <c r="I602" s="5">
        <v>458</v>
      </c>
      <c r="J602" s="5">
        <v>4776</v>
      </c>
      <c r="K602" s="5">
        <v>7075.1</v>
      </c>
      <c r="L602" s="5">
        <v>550</v>
      </c>
      <c r="M602" s="5">
        <v>219</v>
      </c>
      <c r="N602" s="5">
        <v>5</v>
      </c>
      <c r="O602" s="5" t="s">
        <v>32</v>
      </c>
      <c r="P602" s="5">
        <v>4498</v>
      </c>
      <c r="Q602" s="5" t="s">
        <v>33</v>
      </c>
      <c r="R602" s="2">
        <v>3240395.8</v>
      </c>
      <c r="S602" s="2">
        <v>1052987.8</v>
      </c>
      <c r="T602" s="1">
        <v>45949</v>
      </c>
      <c r="U602" s="5">
        <v>10</v>
      </c>
    </row>
    <row r="603" spans="1:21" x14ac:dyDescent="0.3">
      <c r="A603" s="5" t="s">
        <v>664</v>
      </c>
      <c r="B603" s="1">
        <v>45981</v>
      </c>
      <c r="C603" s="5" t="s">
        <v>35</v>
      </c>
      <c r="D603" s="5" t="s">
        <v>19</v>
      </c>
      <c r="E603" s="5" t="s">
        <v>54</v>
      </c>
      <c r="F603" s="5" t="s">
        <v>55</v>
      </c>
      <c r="G603" s="5" t="s">
        <v>31</v>
      </c>
      <c r="H603" s="5" t="s">
        <v>39</v>
      </c>
      <c r="I603" s="5">
        <v>39</v>
      </c>
      <c r="J603" s="5">
        <v>2281</v>
      </c>
      <c r="K603" s="5">
        <v>2944.97</v>
      </c>
      <c r="L603" s="5">
        <v>1054</v>
      </c>
      <c r="M603" s="5">
        <v>200</v>
      </c>
      <c r="N603" s="5">
        <v>5</v>
      </c>
      <c r="O603" s="5" t="s">
        <v>32</v>
      </c>
      <c r="P603" s="5">
        <v>5940</v>
      </c>
      <c r="Q603" s="5" t="s">
        <v>33</v>
      </c>
      <c r="R603" s="2">
        <v>114853.83</v>
      </c>
      <c r="S603" s="2">
        <v>25894.83</v>
      </c>
      <c r="T603" s="1">
        <v>45981</v>
      </c>
      <c r="U603" s="5">
        <v>11</v>
      </c>
    </row>
    <row r="604" spans="1:21" x14ac:dyDescent="0.3">
      <c r="A604" s="5" t="s">
        <v>665</v>
      </c>
      <c r="B604" s="1">
        <v>45992</v>
      </c>
      <c r="C604" s="5" t="s">
        <v>27</v>
      </c>
      <c r="D604" s="5" t="s">
        <v>53</v>
      </c>
      <c r="E604" s="5" t="s">
        <v>29</v>
      </c>
      <c r="F604" s="5" t="s">
        <v>43</v>
      </c>
      <c r="G604" s="5" t="s">
        <v>31</v>
      </c>
      <c r="H604" s="5" t="s">
        <v>51</v>
      </c>
      <c r="I604" s="5">
        <v>19</v>
      </c>
      <c r="J604" s="5">
        <v>3138</v>
      </c>
      <c r="K604" s="5">
        <v>3613.09</v>
      </c>
      <c r="L604" s="5">
        <v>1126</v>
      </c>
      <c r="M604" s="5">
        <v>152</v>
      </c>
      <c r="N604" s="5">
        <v>10</v>
      </c>
      <c r="O604" s="5" t="s">
        <v>24</v>
      </c>
      <c r="P604" s="5">
        <v>2926</v>
      </c>
      <c r="Q604" s="5" t="s">
        <v>46</v>
      </c>
      <c r="R604" s="2">
        <v>68648.710000000006</v>
      </c>
      <c r="S604" s="2">
        <v>9026.7099999999991</v>
      </c>
      <c r="T604" s="1">
        <v>45992</v>
      </c>
      <c r="U604" s="5">
        <v>12</v>
      </c>
    </row>
    <row r="605" spans="1:21" x14ac:dyDescent="0.3">
      <c r="A605" s="5" t="s">
        <v>666</v>
      </c>
      <c r="B605" s="1">
        <v>45674</v>
      </c>
      <c r="C605" s="5" t="s">
        <v>18</v>
      </c>
      <c r="D605" s="5" t="s">
        <v>19</v>
      </c>
      <c r="E605" s="5" t="s">
        <v>49</v>
      </c>
      <c r="F605" s="5" t="s">
        <v>94</v>
      </c>
      <c r="G605" s="5" t="s">
        <v>31</v>
      </c>
      <c r="H605" s="5" t="s">
        <v>39</v>
      </c>
      <c r="I605" s="5">
        <v>433</v>
      </c>
      <c r="J605" s="5">
        <v>1089</v>
      </c>
      <c r="K605" s="5">
        <v>1253.03</v>
      </c>
      <c r="L605" s="5">
        <v>1243</v>
      </c>
      <c r="M605" s="5">
        <v>107</v>
      </c>
      <c r="N605" s="5">
        <v>8</v>
      </c>
      <c r="O605" s="5" t="s">
        <v>24</v>
      </c>
      <c r="P605" s="5">
        <v>5971</v>
      </c>
      <c r="Q605" s="5" t="s">
        <v>33</v>
      </c>
      <c r="R605" s="2">
        <v>542561.99</v>
      </c>
      <c r="S605" s="2">
        <v>71024.990000000005</v>
      </c>
      <c r="T605" s="1">
        <v>45674</v>
      </c>
      <c r="U605" s="5">
        <v>1</v>
      </c>
    </row>
    <row r="606" spans="1:21" x14ac:dyDescent="0.3">
      <c r="A606" s="5" t="s">
        <v>667</v>
      </c>
      <c r="B606" s="1">
        <v>45756</v>
      </c>
      <c r="C606" s="5" t="s">
        <v>42</v>
      </c>
      <c r="D606" s="5" t="s">
        <v>36</v>
      </c>
      <c r="E606" s="5" t="s">
        <v>20</v>
      </c>
      <c r="F606" s="5" t="s">
        <v>21</v>
      </c>
      <c r="G606" s="5" t="s">
        <v>31</v>
      </c>
      <c r="H606" s="5" t="s">
        <v>23</v>
      </c>
      <c r="I606" s="5">
        <v>452</v>
      </c>
      <c r="J606" s="5">
        <v>2966</v>
      </c>
      <c r="K606" s="5">
        <v>3838.65</v>
      </c>
      <c r="L606" s="5">
        <v>642</v>
      </c>
      <c r="M606" s="5">
        <v>187</v>
      </c>
      <c r="N606" s="5">
        <v>8</v>
      </c>
      <c r="O606" s="5" t="s">
        <v>24</v>
      </c>
      <c r="P606" s="5">
        <v>4487</v>
      </c>
      <c r="Q606" s="5" t="s">
        <v>33</v>
      </c>
      <c r="R606" s="2">
        <v>1735069.8</v>
      </c>
      <c r="S606" s="2">
        <v>394437.8</v>
      </c>
      <c r="T606" s="1">
        <v>45756</v>
      </c>
      <c r="U606" s="5">
        <v>4</v>
      </c>
    </row>
    <row r="607" spans="1:21" x14ac:dyDescent="0.3">
      <c r="A607" s="5" t="s">
        <v>668</v>
      </c>
      <c r="B607" s="1">
        <v>45717</v>
      </c>
      <c r="C607" s="5" t="s">
        <v>27</v>
      </c>
      <c r="D607" s="5" t="s">
        <v>62</v>
      </c>
      <c r="E607" s="5" t="s">
        <v>49</v>
      </c>
      <c r="F607" s="5" t="s">
        <v>94</v>
      </c>
      <c r="G607" s="5" t="s">
        <v>56</v>
      </c>
      <c r="H607" s="5" t="s">
        <v>51</v>
      </c>
      <c r="I607" s="5">
        <v>186</v>
      </c>
      <c r="J607" s="5">
        <v>4845</v>
      </c>
      <c r="K607" s="5">
        <v>6100.58</v>
      </c>
      <c r="L607" s="5">
        <v>607</v>
      </c>
      <c r="M607" s="5">
        <v>90</v>
      </c>
      <c r="N607" s="5">
        <v>5</v>
      </c>
      <c r="O607" s="5" t="s">
        <v>32</v>
      </c>
      <c r="P607" s="5">
        <v>3090</v>
      </c>
      <c r="Q607" s="5" t="s">
        <v>33</v>
      </c>
      <c r="R607" s="2">
        <v>1134707.8799999999</v>
      </c>
      <c r="S607" s="2">
        <v>233537.88</v>
      </c>
      <c r="T607" s="1">
        <v>45717</v>
      </c>
      <c r="U607" s="5">
        <v>3</v>
      </c>
    </row>
    <row r="608" spans="1:21" x14ac:dyDescent="0.3">
      <c r="A608" s="5" t="s">
        <v>669</v>
      </c>
      <c r="B608" s="1">
        <v>45816</v>
      </c>
      <c r="C608" s="5" t="s">
        <v>18</v>
      </c>
      <c r="D608" s="5" t="s">
        <v>53</v>
      </c>
      <c r="E608" s="5" t="s">
        <v>20</v>
      </c>
      <c r="F608" s="5" t="s">
        <v>100</v>
      </c>
      <c r="G608" s="5" t="s">
        <v>22</v>
      </c>
      <c r="H608" s="5" t="s">
        <v>39</v>
      </c>
      <c r="I608" s="5">
        <v>264</v>
      </c>
      <c r="J608" s="5">
        <v>1461</v>
      </c>
      <c r="K608" s="5">
        <v>1710.45</v>
      </c>
      <c r="L608" s="5">
        <v>668</v>
      </c>
      <c r="M608" s="5">
        <v>297</v>
      </c>
      <c r="N608" s="5">
        <v>10</v>
      </c>
      <c r="O608" s="5" t="s">
        <v>24</v>
      </c>
      <c r="P608" s="5">
        <v>2784</v>
      </c>
      <c r="Q608" s="5" t="s">
        <v>33</v>
      </c>
      <c r="R608" s="2">
        <v>451558.8</v>
      </c>
      <c r="S608" s="2">
        <v>65854.8</v>
      </c>
      <c r="T608" s="1">
        <v>45816</v>
      </c>
      <c r="U608" s="5">
        <v>6</v>
      </c>
    </row>
    <row r="609" spans="1:21" x14ac:dyDescent="0.3">
      <c r="A609" s="5" t="s">
        <v>670</v>
      </c>
      <c r="B609" s="1">
        <v>45815</v>
      </c>
      <c r="C609" s="5" t="s">
        <v>18</v>
      </c>
      <c r="D609" s="5" t="s">
        <v>53</v>
      </c>
      <c r="E609" s="5" t="s">
        <v>49</v>
      </c>
      <c r="F609" s="5" t="s">
        <v>50</v>
      </c>
      <c r="G609" s="5" t="s">
        <v>38</v>
      </c>
      <c r="H609" s="5" t="s">
        <v>51</v>
      </c>
      <c r="I609" s="5">
        <v>283</v>
      </c>
      <c r="J609" s="5">
        <v>3093</v>
      </c>
      <c r="K609" s="5">
        <v>4021.88</v>
      </c>
      <c r="L609" s="5">
        <v>1367</v>
      </c>
      <c r="M609" s="5">
        <v>212</v>
      </c>
      <c r="N609" s="5">
        <v>4</v>
      </c>
      <c r="O609" s="5" t="s">
        <v>32</v>
      </c>
      <c r="P609" s="5">
        <v>5426</v>
      </c>
      <c r="Q609" s="5" t="s">
        <v>33</v>
      </c>
      <c r="R609" s="2">
        <v>1138192.04</v>
      </c>
      <c r="S609" s="2">
        <v>262873.03999999998</v>
      </c>
      <c r="T609" s="1">
        <v>45815</v>
      </c>
      <c r="U609" s="5">
        <v>6</v>
      </c>
    </row>
    <row r="610" spans="1:21" x14ac:dyDescent="0.3">
      <c r="A610" s="5" t="s">
        <v>671</v>
      </c>
      <c r="B610" s="1">
        <v>45736</v>
      </c>
      <c r="C610" s="5" t="s">
        <v>35</v>
      </c>
      <c r="D610" s="5" t="s">
        <v>19</v>
      </c>
      <c r="E610" s="5" t="s">
        <v>54</v>
      </c>
      <c r="F610" s="5" t="s">
        <v>63</v>
      </c>
      <c r="G610" s="5" t="s">
        <v>22</v>
      </c>
      <c r="H610" s="5" t="s">
        <v>39</v>
      </c>
      <c r="I610" s="5">
        <v>314</v>
      </c>
      <c r="J610" s="5">
        <v>1287</v>
      </c>
      <c r="K610" s="5">
        <v>1711.19</v>
      </c>
      <c r="L610" s="5">
        <v>674</v>
      </c>
      <c r="M610" s="5">
        <v>146</v>
      </c>
      <c r="N610" s="5">
        <v>7</v>
      </c>
      <c r="O610" s="5" t="s">
        <v>24</v>
      </c>
      <c r="P610" s="5">
        <v>2062</v>
      </c>
      <c r="Q610" s="5" t="s">
        <v>33</v>
      </c>
      <c r="R610" s="2">
        <v>537313.66</v>
      </c>
      <c r="S610" s="2">
        <v>133195.66</v>
      </c>
      <c r="T610" s="1">
        <v>45736</v>
      </c>
      <c r="U610" s="5">
        <v>3</v>
      </c>
    </row>
    <row r="611" spans="1:21" x14ac:dyDescent="0.3">
      <c r="A611" s="5" t="s">
        <v>672</v>
      </c>
      <c r="B611" s="1">
        <v>45940</v>
      </c>
      <c r="C611" s="5" t="s">
        <v>18</v>
      </c>
      <c r="D611" s="5" t="s">
        <v>36</v>
      </c>
      <c r="E611" s="5" t="s">
        <v>29</v>
      </c>
      <c r="F611" s="5" t="s">
        <v>30</v>
      </c>
      <c r="G611" s="5" t="s">
        <v>38</v>
      </c>
      <c r="H611" s="5" t="s">
        <v>23</v>
      </c>
      <c r="I611" s="5">
        <v>101</v>
      </c>
      <c r="J611" s="5">
        <v>2474</v>
      </c>
      <c r="K611" s="5">
        <v>2865.13</v>
      </c>
      <c r="L611" s="5">
        <v>355</v>
      </c>
      <c r="M611" s="5">
        <v>190</v>
      </c>
      <c r="N611" s="5">
        <v>3</v>
      </c>
      <c r="O611" s="5" t="s">
        <v>32</v>
      </c>
      <c r="P611" s="5">
        <v>7556</v>
      </c>
      <c r="Q611" s="5" t="s">
        <v>33</v>
      </c>
      <c r="R611" s="2">
        <v>289378.13</v>
      </c>
      <c r="S611" s="2">
        <v>39504.129999999997</v>
      </c>
      <c r="T611" s="1">
        <v>45940</v>
      </c>
      <c r="U611" s="5">
        <v>10</v>
      </c>
    </row>
    <row r="612" spans="1:21" x14ac:dyDescent="0.3">
      <c r="A612" s="5" t="s">
        <v>673</v>
      </c>
      <c r="B612" s="1">
        <v>45756</v>
      </c>
      <c r="C612" s="5" t="s">
        <v>35</v>
      </c>
      <c r="D612" s="5" t="s">
        <v>28</v>
      </c>
      <c r="E612" s="5" t="s">
        <v>49</v>
      </c>
      <c r="F612" s="5" t="s">
        <v>50</v>
      </c>
      <c r="G612" s="5" t="s">
        <v>31</v>
      </c>
      <c r="H612" s="5" t="s">
        <v>51</v>
      </c>
      <c r="I612" s="5">
        <v>152</v>
      </c>
      <c r="J612" s="5">
        <v>3501</v>
      </c>
      <c r="K612" s="5">
        <v>4737.5200000000004</v>
      </c>
      <c r="L612" s="5">
        <v>443</v>
      </c>
      <c r="M612" s="5">
        <v>128</v>
      </c>
      <c r="N612" s="5">
        <v>6</v>
      </c>
      <c r="O612" s="5" t="s">
        <v>24</v>
      </c>
      <c r="P612" s="5">
        <v>7850</v>
      </c>
      <c r="Q612" s="5" t="s">
        <v>46</v>
      </c>
      <c r="R612" s="2">
        <v>720103.04</v>
      </c>
      <c r="S612" s="2">
        <v>187951.04</v>
      </c>
      <c r="T612" s="1">
        <v>45756</v>
      </c>
      <c r="U612" s="5">
        <v>4</v>
      </c>
    </row>
    <row r="613" spans="1:21" x14ac:dyDescent="0.3">
      <c r="A613" s="5" t="s">
        <v>674</v>
      </c>
      <c r="B613" s="1">
        <v>45736</v>
      </c>
      <c r="C613" s="5" t="s">
        <v>27</v>
      </c>
      <c r="D613" s="5" t="s">
        <v>28</v>
      </c>
      <c r="E613" s="5" t="s">
        <v>49</v>
      </c>
      <c r="F613" s="5" t="s">
        <v>75</v>
      </c>
      <c r="G613" s="5" t="s">
        <v>38</v>
      </c>
      <c r="H613" s="5" t="s">
        <v>23</v>
      </c>
      <c r="I613" s="5">
        <v>394</v>
      </c>
      <c r="J613" s="5">
        <v>4374</v>
      </c>
      <c r="K613" s="5">
        <v>5122.26</v>
      </c>
      <c r="L613" s="5">
        <v>1164</v>
      </c>
      <c r="M613" s="5">
        <v>215</v>
      </c>
      <c r="N613" s="5">
        <v>1</v>
      </c>
      <c r="O613" s="5" t="s">
        <v>32</v>
      </c>
      <c r="P613" s="5">
        <v>4240</v>
      </c>
      <c r="Q613" s="5" t="s">
        <v>33</v>
      </c>
      <c r="R613" s="2">
        <v>2018170.44</v>
      </c>
      <c r="S613" s="2">
        <v>294814.44</v>
      </c>
      <c r="T613" s="1">
        <v>45736</v>
      </c>
      <c r="U613" s="5">
        <v>3</v>
      </c>
    </row>
    <row r="614" spans="1:21" x14ac:dyDescent="0.3">
      <c r="A614" s="5" t="s">
        <v>675</v>
      </c>
      <c r="B614" s="1">
        <v>45904</v>
      </c>
      <c r="C614" s="5" t="s">
        <v>35</v>
      </c>
      <c r="D614" s="5" t="s">
        <v>62</v>
      </c>
      <c r="E614" s="5" t="s">
        <v>29</v>
      </c>
      <c r="F614" s="5" t="s">
        <v>30</v>
      </c>
      <c r="G614" s="5" t="s">
        <v>31</v>
      </c>
      <c r="H614" s="5" t="s">
        <v>51</v>
      </c>
      <c r="I614" s="5">
        <v>211</v>
      </c>
      <c r="J614" s="5">
        <v>1866</v>
      </c>
      <c r="K614" s="5">
        <v>2389.85</v>
      </c>
      <c r="L614" s="5">
        <v>1573</v>
      </c>
      <c r="M614" s="5">
        <v>204</v>
      </c>
      <c r="N614" s="5">
        <v>8</v>
      </c>
      <c r="O614" s="5" t="s">
        <v>24</v>
      </c>
      <c r="P614" s="5">
        <v>4653</v>
      </c>
      <c r="Q614" s="5" t="s">
        <v>33</v>
      </c>
      <c r="R614" s="2">
        <v>504258.35</v>
      </c>
      <c r="S614" s="2">
        <v>110532.35</v>
      </c>
      <c r="T614" s="1">
        <v>45904</v>
      </c>
      <c r="U614" s="5">
        <v>9</v>
      </c>
    </row>
    <row r="615" spans="1:21" x14ac:dyDescent="0.3">
      <c r="A615" s="5" t="s">
        <v>676</v>
      </c>
      <c r="B615" s="1">
        <v>45792</v>
      </c>
      <c r="C615" s="5" t="s">
        <v>42</v>
      </c>
      <c r="D615" s="5" t="s">
        <v>36</v>
      </c>
      <c r="E615" s="5" t="s">
        <v>20</v>
      </c>
      <c r="F615" s="5" t="s">
        <v>60</v>
      </c>
      <c r="G615" s="5" t="s">
        <v>31</v>
      </c>
      <c r="H615" s="5" t="s">
        <v>39</v>
      </c>
      <c r="I615" s="5">
        <v>186</v>
      </c>
      <c r="J615" s="5">
        <v>1542</v>
      </c>
      <c r="K615" s="5">
        <v>2145.5300000000002</v>
      </c>
      <c r="L615" s="5">
        <v>747</v>
      </c>
      <c r="M615" s="5">
        <v>186</v>
      </c>
      <c r="N615" s="5">
        <v>3</v>
      </c>
      <c r="O615" s="5" t="s">
        <v>32</v>
      </c>
      <c r="P615" s="5">
        <v>5955</v>
      </c>
      <c r="Q615" s="5" t="s">
        <v>25</v>
      </c>
      <c r="R615" s="2">
        <v>399068.58</v>
      </c>
      <c r="S615" s="2">
        <v>112256.58</v>
      </c>
      <c r="T615" s="1">
        <v>45792</v>
      </c>
      <c r="U615" s="5">
        <v>5</v>
      </c>
    </row>
    <row r="616" spans="1:21" x14ac:dyDescent="0.3">
      <c r="A616" s="5" t="s">
        <v>677</v>
      </c>
      <c r="B616" s="1">
        <v>45853</v>
      </c>
      <c r="C616" s="5" t="s">
        <v>27</v>
      </c>
      <c r="D616" s="5" t="s">
        <v>53</v>
      </c>
      <c r="E616" s="5" t="s">
        <v>29</v>
      </c>
      <c r="F616" s="5" t="s">
        <v>58</v>
      </c>
      <c r="G616" s="5" t="s">
        <v>22</v>
      </c>
      <c r="H616" s="5" t="s">
        <v>23</v>
      </c>
      <c r="I616" s="5">
        <v>250</v>
      </c>
      <c r="J616" s="5">
        <v>690</v>
      </c>
      <c r="K616" s="5">
        <v>878.83</v>
      </c>
      <c r="L616" s="5">
        <v>197</v>
      </c>
      <c r="M616" s="5">
        <v>172</v>
      </c>
      <c r="N616" s="5">
        <v>4</v>
      </c>
      <c r="O616" s="5" t="s">
        <v>32</v>
      </c>
      <c r="P616" s="5">
        <v>1208</v>
      </c>
      <c r="Q616" s="5" t="s">
        <v>33</v>
      </c>
      <c r="R616" s="2">
        <v>219707.5</v>
      </c>
      <c r="S616" s="2">
        <v>47207.5</v>
      </c>
      <c r="T616" s="1">
        <v>45853</v>
      </c>
      <c r="U616" s="5">
        <v>7</v>
      </c>
    </row>
    <row r="617" spans="1:21" x14ac:dyDescent="0.3">
      <c r="A617" s="5" t="s">
        <v>678</v>
      </c>
      <c r="B617" s="1">
        <v>45925</v>
      </c>
      <c r="C617" s="5" t="s">
        <v>27</v>
      </c>
      <c r="D617" s="5" t="s">
        <v>62</v>
      </c>
      <c r="E617" s="5" t="s">
        <v>20</v>
      </c>
      <c r="F617" s="5" t="s">
        <v>60</v>
      </c>
      <c r="G617" s="5" t="s">
        <v>38</v>
      </c>
      <c r="H617" s="5" t="s">
        <v>51</v>
      </c>
      <c r="I617" s="5">
        <v>79</v>
      </c>
      <c r="J617" s="5">
        <v>4067</v>
      </c>
      <c r="K617" s="5">
        <v>5883.02</v>
      </c>
      <c r="L617" s="5">
        <v>589</v>
      </c>
      <c r="M617" s="5">
        <v>154</v>
      </c>
      <c r="N617" s="5">
        <v>8</v>
      </c>
      <c r="O617" s="5" t="s">
        <v>24</v>
      </c>
      <c r="P617" s="5">
        <v>5224</v>
      </c>
      <c r="Q617" s="5" t="s">
        <v>40</v>
      </c>
      <c r="R617" s="2">
        <v>464758.58</v>
      </c>
      <c r="S617" s="2">
        <v>143465.57999999999</v>
      </c>
      <c r="T617" s="1">
        <v>45925</v>
      </c>
      <c r="U617" s="5">
        <v>9</v>
      </c>
    </row>
    <row r="618" spans="1:21" x14ac:dyDescent="0.3">
      <c r="A618" s="5" t="s">
        <v>679</v>
      </c>
      <c r="B618" s="1">
        <v>45879</v>
      </c>
      <c r="C618" s="5" t="s">
        <v>18</v>
      </c>
      <c r="D618" s="5" t="s">
        <v>28</v>
      </c>
      <c r="E618" s="5" t="s">
        <v>49</v>
      </c>
      <c r="F618" s="5" t="s">
        <v>94</v>
      </c>
      <c r="G618" s="5" t="s">
        <v>22</v>
      </c>
      <c r="H618" s="5" t="s">
        <v>39</v>
      </c>
      <c r="I618" s="5">
        <v>376</v>
      </c>
      <c r="J618" s="5">
        <v>2268</v>
      </c>
      <c r="K618" s="5">
        <v>3257.4</v>
      </c>
      <c r="L618" s="5">
        <v>1902</v>
      </c>
      <c r="M618" s="5">
        <v>147</v>
      </c>
      <c r="N618" s="5">
        <v>1</v>
      </c>
      <c r="O618" s="5" t="s">
        <v>32</v>
      </c>
      <c r="P618" s="5">
        <v>3506</v>
      </c>
      <c r="Q618" s="5" t="s">
        <v>33</v>
      </c>
      <c r="R618" s="2">
        <v>1224782.3999999999</v>
      </c>
      <c r="S618" s="2">
        <v>372014.4</v>
      </c>
      <c r="T618" s="1">
        <v>45879</v>
      </c>
      <c r="U618" s="5">
        <v>8</v>
      </c>
    </row>
    <row r="619" spans="1:21" x14ac:dyDescent="0.3">
      <c r="A619" s="5" t="s">
        <v>680</v>
      </c>
      <c r="B619" s="1">
        <v>45755</v>
      </c>
      <c r="C619" s="5" t="s">
        <v>42</v>
      </c>
      <c r="D619" s="5" t="s">
        <v>53</v>
      </c>
      <c r="E619" s="5" t="s">
        <v>49</v>
      </c>
      <c r="F619" s="5" t="s">
        <v>94</v>
      </c>
      <c r="G619" s="5" t="s">
        <v>38</v>
      </c>
      <c r="H619" s="5" t="s">
        <v>51</v>
      </c>
      <c r="I619" s="5">
        <v>365</v>
      </c>
      <c r="J619" s="5">
        <v>3034</v>
      </c>
      <c r="K619" s="5">
        <v>3540.02</v>
      </c>
      <c r="L619" s="5">
        <v>370</v>
      </c>
      <c r="M619" s="5">
        <v>228</v>
      </c>
      <c r="N619" s="5">
        <v>6</v>
      </c>
      <c r="O619" s="5" t="s">
        <v>24</v>
      </c>
      <c r="P619" s="5">
        <v>5676</v>
      </c>
      <c r="Q619" s="5" t="s">
        <v>25</v>
      </c>
      <c r="R619" s="2">
        <v>1292107.3</v>
      </c>
      <c r="S619" s="2">
        <v>184697.3</v>
      </c>
      <c r="T619" s="1">
        <v>45755</v>
      </c>
      <c r="U619" s="5">
        <v>4</v>
      </c>
    </row>
    <row r="620" spans="1:21" x14ac:dyDescent="0.3">
      <c r="A620" s="5" t="s">
        <v>681</v>
      </c>
      <c r="B620" s="1">
        <v>45783</v>
      </c>
      <c r="C620" s="5" t="s">
        <v>42</v>
      </c>
      <c r="D620" s="5" t="s">
        <v>19</v>
      </c>
      <c r="E620" s="5" t="s">
        <v>20</v>
      </c>
      <c r="F620" s="5" t="s">
        <v>21</v>
      </c>
      <c r="G620" s="5" t="s">
        <v>56</v>
      </c>
      <c r="H620" s="5" t="s">
        <v>23</v>
      </c>
      <c r="I620" s="5">
        <v>368</v>
      </c>
      <c r="J620" s="5">
        <v>3373</v>
      </c>
      <c r="K620" s="5">
        <v>4401.1000000000004</v>
      </c>
      <c r="L620" s="5">
        <v>718</v>
      </c>
      <c r="M620" s="5">
        <v>239</v>
      </c>
      <c r="N620" s="5">
        <v>1</v>
      </c>
      <c r="O620" s="5" t="s">
        <v>32</v>
      </c>
      <c r="P620" s="5">
        <v>7991</v>
      </c>
      <c r="Q620" s="5" t="s">
        <v>33</v>
      </c>
      <c r="R620" s="2">
        <v>1619604.8</v>
      </c>
      <c r="S620" s="2">
        <v>378340.8</v>
      </c>
      <c r="T620" s="1">
        <v>45783</v>
      </c>
      <c r="U620" s="5">
        <v>5</v>
      </c>
    </row>
    <row r="621" spans="1:21" x14ac:dyDescent="0.3">
      <c r="A621" s="5" t="s">
        <v>682</v>
      </c>
      <c r="B621" s="1">
        <v>45687</v>
      </c>
      <c r="C621" s="5" t="s">
        <v>27</v>
      </c>
      <c r="D621" s="5" t="s">
        <v>53</v>
      </c>
      <c r="E621" s="5" t="s">
        <v>20</v>
      </c>
      <c r="F621" s="5" t="s">
        <v>21</v>
      </c>
      <c r="G621" s="5" t="s">
        <v>31</v>
      </c>
      <c r="H621" s="5" t="s">
        <v>51</v>
      </c>
      <c r="I621" s="5">
        <v>100</v>
      </c>
      <c r="J621" s="5">
        <v>2535</v>
      </c>
      <c r="K621" s="5">
        <v>3189.91</v>
      </c>
      <c r="L621" s="5">
        <v>838</v>
      </c>
      <c r="M621" s="5">
        <v>206</v>
      </c>
      <c r="N621" s="5">
        <v>7</v>
      </c>
      <c r="O621" s="5" t="s">
        <v>24</v>
      </c>
      <c r="P621" s="5">
        <v>4093</v>
      </c>
      <c r="Q621" s="5" t="s">
        <v>40</v>
      </c>
      <c r="R621" s="2">
        <v>318991</v>
      </c>
      <c r="S621" s="2">
        <v>65491</v>
      </c>
      <c r="T621" s="1">
        <v>45687</v>
      </c>
      <c r="U621" s="5">
        <v>1</v>
      </c>
    </row>
    <row r="622" spans="1:21" x14ac:dyDescent="0.3">
      <c r="A622" s="5" t="s">
        <v>683</v>
      </c>
      <c r="B622" s="1">
        <v>45848</v>
      </c>
      <c r="C622" s="5" t="s">
        <v>42</v>
      </c>
      <c r="D622" s="5" t="s">
        <v>62</v>
      </c>
      <c r="E622" s="5" t="s">
        <v>49</v>
      </c>
      <c r="F622" s="5" t="s">
        <v>89</v>
      </c>
      <c r="G622" s="5" t="s">
        <v>56</v>
      </c>
      <c r="H622" s="5" t="s">
        <v>51</v>
      </c>
      <c r="I622" s="5">
        <v>127</v>
      </c>
      <c r="J622" s="5">
        <v>923</v>
      </c>
      <c r="K622" s="5">
        <v>1179.25</v>
      </c>
      <c r="L622" s="5">
        <v>694</v>
      </c>
      <c r="M622" s="5">
        <v>186</v>
      </c>
      <c r="N622" s="5">
        <v>10</v>
      </c>
      <c r="O622" s="5" t="s">
        <v>24</v>
      </c>
      <c r="P622" s="5">
        <v>2385</v>
      </c>
      <c r="Q622" s="5" t="s">
        <v>46</v>
      </c>
      <c r="R622" s="2">
        <v>149764.75</v>
      </c>
      <c r="S622" s="2">
        <v>32543.75</v>
      </c>
      <c r="T622" s="1">
        <v>45848</v>
      </c>
      <c r="U622" s="5">
        <v>7</v>
      </c>
    </row>
    <row r="623" spans="1:21" x14ac:dyDescent="0.3">
      <c r="A623" s="5" t="s">
        <v>684</v>
      </c>
      <c r="B623" s="1">
        <v>45994</v>
      </c>
      <c r="C623" s="5" t="s">
        <v>18</v>
      </c>
      <c r="D623" s="5" t="s">
        <v>19</v>
      </c>
      <c r="E623" s="5" t="s">
        <v>49</v>
      </c>
      <c r="F623" s="5" t="s">
        <v>50</v>
      </c>
      <c r="G623" s="5" t="s">
        <v>31</v>
      </c>
      <c r="H623" s="5" t="s">
        <v>51</v>
      </c>
      <c r="I623" s="5">
        <v>238</v>
      </c>
      <c r="J623" s="5">
        <v>2573</v>
      </c>
      <c r="K623" s="5">
        <v>3085.29</v>
      </c>
      <c r="L623" s="5">
        <v>407</v>
      </c>
      <c r="M623" s="5">
        <v>198</v>
      </c>
      <c r="N623" s="5">
        <v>5</v>
      </c>
      <c r="O623" s="5" t="s">
        <v>24</v>
      </c>
      <c r="P623" s="5">
        <v>4020</v>
      </c>
      <c r="Q623" s="5" t="s">
        <v>46</v>
      </c>
      <c r="R623" s="2">
        <v>734299.02</v>
      </c>
      <c r="S623" s="2">
        <v>121925.02</v>
      </c>
      <c r="T623" s="1">
        <v>45994</v>
      </c>
      <c r="U623" s="5">
        <v>12</v>
      </c>
    </row>
    <row r="624" spans="1:21" x14ac:dyDescent="0.3">
      <c r="A624" s="5" t="s">
        <v>685</v>
      </c>
      <c r="B624" s="1">
        <v>45966</v>
      </c>
      <c r="C624" s="5" t="s">
        <v>18</v>
      </c>
      <c r="D624" s="5" t="s">
        <v>62</v>
      </c>
      <c r="E624" s="5" t="s">
        <v>29</v>
      </c>
      <c r="F624" s="5" t="s">
        <v>43</v>
      </c>
      <c r="G624" s="5" t="s">
        <v>22</v>
      </c>
      <c r="H624" s="5" t="s">
        <v>23</v>
      </c>
      <c r="I624" s="5">
        <v>272</v>
      </c>
      <c r="J624" s="5">
        <v>3784</v>
      </c>
      <c r="K624" s="5">
        <v>5620.48</v>
      </c>
      <c r="L624" s="5">
        <v>1481</v>
      </c>
      <c r="M624" s="5">
        <v>219</v>
      </c>
      <c r="N624" s="5">
        <v>7</v>
      </c>
      <c r="O624" s="5" t="s">
        <v>24</v>
      </c>
      <c r="P624" s="5">
        <v>7245</v>
      </c>
      <c r="Q624" s="5" t="s">
        <v>46</v>
      </c>
      <c r="R624" s="2">
        <v>1528770.5600000001</v>
      </c>
      <c r="S624" s="2">
        <v>499522.56</v>
      </c>
      <c r="T624" s="1">
        <v>45966</v>
      </c>
      <c r="U624" s="5">
        <v>11</v>
      </c>
    </row>
    <row r="625" spans="1:21" x14ac:dyDescent="0.3">
      <c r="A625" s="5" t="s">
        <v>686</v>
      </c>
      <c r="B625" s="1">
        <v>45939</v>
      </c>
      <c r="C625" s="5" t="s">
        <v>27</v>
      </c>
      <c r="D625" s="5" t="s">
        <v>36</v>
      </c>
      <c r="E625" s="5" t="s">
        <v>54</v>
      </c>
      <c r="F625" s="5" t="s">
        <v>81</v>
      </c>
      <c r="G625" s="5" t="s">
        <v>31</v>
      </c>
      <c r="H625" s="5" t="s">
        <v>39</v>
      </c>
      <c r="I625" s="5">
        <v>360</v>
      </c>
      <c r="J625" s="5">
        <v>2961</v>
      </c>
      <c r="K625" s="5">
        <v>3759.62</v>
      </c>
      <c r="L625" s="5">
        <v>1514</v>
      </c>
      <c r="M625" s="5">
        <v>149</v>
      </c>
      <c r="N625" s="5">
        <v>9</v>
      </c>
      <c r="O625" s="5" t="s">
        <v>24</v>
      </c>
      <c r="P625" s="5">
        <v>7293</v>
      </c>
      <c r="Q625" s="5" t="s">
        <v>25</v>
      </c>
      <c r="R625" s="2">
        <v>1353463.2</v>
      </c>
      <c r="S625" s="2">
        <v>287503.2</v>
      </c>
      <c r="T625" s="1">
        <v>45939</v>
      </c>
      <c r="U625" s="5">
        <v>10</v>
      </c>
    </row>
    <row r="626" spans="1:21" x14ac:dyDescent="0.3">
      <c r="A626" s="5" t="s">
        <v>687</v>
      </c>
      <c r="B626" s="1">
        <v>45938</v>
      </c>
      <c r="C626" s="5" t="s">
        <v>42</v>
      </c>
      <c r="D626" s="5" t="s">
        <v>53</v>
      </c>
      <c r="E626" s="5" t="s">
        <v>54</v>
      </c>
      <c r="F626" s="5" t="s">
        <v>55</v>
      </c>
      <c r="G626" s="5" t="s">
        <v>22</v>
      </c>
      <c r="H626" s="5" t="s">
        <v>51</v>
      </c>
      <c r="I626" s="5">
        <v>127</v>
      </c>
      <c r="J626" s="5">
        <v>4605</v>
      </c>
      <c r="K626" s="5">
        <v>5943.49</v>
      </c>
      <c r="L626" s="5">
        <v>1258</v>
      </c>
      <c r="M626" s="5">
        <v>147</v>
      </c>
      <c r="N626" s="5">
        <v>5</v>
      </c>
      <c r="O626" s="5" t="s">
        <v>32</v>
      </c>
      <c r="P626" s="5">
        <v>1909</v>
      </c>
      <c r="Q626" s="5" t="s">
        <v>33</v>
      </c>
      <c r="R626" s="2">
        <v>754823.23</v>
      </c>
      <c r="S626" s="2">
        <v>169988.23</v>
      </c>
      <c r="T626" s="1">
        <v>45938</v>
      </c>
      <c r="U626" s="5">
        <v>10</v>
      </c>
    </row>
    <row r="627" spans="1:21" x14ac:dyDescent="0.3">
      <c r="A627" s="5" t="s">
        <v>688</v>
      </c>
      <c r="B627" s="1">
        <v>45999</v>
      </c>
      <c r="C627" s="5" t="s">
        <v>18</v>
      </c>
      <c r="D627" s="5" t="s">
        <v>62</v>
      </c>
      <c r="E627" s="5" t="s">
        <v>20</v>
      </c>
      <c r="F627" s="5" t="s">
        <v>45</v>
      </c>
      <c r="G627" s="5" t="s">
        <v>38</v>
      </c>
      <c r="H627" s="5" t="s">
        <v>39</v>
      </c>
      <c r="I627" s="5">
        <v>466</v>
      </c>
      <c r="J627" s="5">
        <v>363</v>
      </c>
      <c r="K627" s="5">
        <v>488.52</v>
      </c>
      <c r="L627" s="5">
        <v>1727</v>
      </c>
      <c r="M627" s="5">
        <v>238</v>
      </c>
      <c r="N627" s="5">
        <v>3</v>
      </c>
      <c r="O627" s="5" t="s">
        <v>32</v>
      </c>
      <c r="P627" s="5">
        <v>4490</v>
      </c>
      <c r="Q627" s="5" t="s">
        <v>25</v>
      </c>
      <c r="R627" s="2">
        <v>227650.32</v>
      </c>
      <c r="S627" s="2">
        <v>58492.32</v>
      </c>
      <c r="T627" s="1">
        <v>45999</v>
      </c>
      <c r="U627" s="5">
        <v>12</v>
      </c>
    </row>
    <row r="628" spans="1:21" x14ac:dyDescent="0.3">
      <c r="A628" s="5" t="s">
        <v>689</v>
      </c>
      <c r="B628" s="1">
        <v>45790</v>
      </c>
      <c r="C628" s="5" t="s">
        <v>27</v>
      </c>
      <c r="D628" s="5" t="s">
        <v>53</v>
      </c>
      <c r="E628" s="5" t="s">
        <v>20</v>
      </c>
      <c r="F628" s="5" t="s">
        <v>37</v>
      </c>
      <c r="G628" s="5" t="s">
        <v>56</v>
      </c>
      <c r="H628" s="5" t="s">
        <v>23</v>
      </c>
      <c r="I628" s="5">
        <v>197</v>
      </c>
      <c r="J628" s="5">
        <v>1591</v>
      </c>
      <c r="K628" s="5">
        <v>1870.64</v>
      </c>
      <c r="L628" s="5">
        <v>302</v>
      </c>
      <c r="M628" s="5">
        <v>155</v>
      </c>
      <c r="N628" s="5">
        <v>2</v>
      </c>
      <c r="O628" s="5" t="s">
        <v>32</v>
      </c>
      <c r="P628" s="5">
        <v>2004</v>
      </c>
      <c r="Q628" s="5" t="s">
        <v>33</v>
      </c>
      <c r="R628" s="2">
        <v>368516.08</v>
      </c>
      <c r="S628" s="2">
        <v>55089.08</v>
      </c>
      <c r="T628" s="1">
        <v>45790</v>
      </c>
      <c r="U628" s="5">
        <v>5</v>
      </c>
    </row>
    <row r="629" spans="1:21" x14ac:dyDescent="0.3">
      <c r="A629" s="5" t="s">
        <v>690</v>
      </c>
      <c r="B629" s="1">
        <v>45927</v>
      </c>
      <c r="C629" s="5" t="s">
        <v>27</v>
      </c>
      <c r="D629" s="5" t="s">
        <v>53</v>
      </c>
      <c r="E629" s="5" t="s">
        <v>29</v>
      </c>
      <c r="F629" s="5" t="s">
        <v>69</v>
      </c>
      <c r="G629" s="5" t="s">
        <v>31</v>
      </c>
      <c r="H629" s="5" t="s">
        <v>23</v>
      </c>
      <c r="I629" s="5">
        <v>439</v>
      </c>
      <c r="J629" s="5">
        <v>1814</v>
      </c>
      <c r="K629" s="5">
        <v>2302.9499999999998</v>
      </c>
      <c r="L629" s="5">
        <v>929</v>
      </c>
      <c r="M629" s="5">
        <v>125</v>
      </c>
      <c r="N629" s="5">
        <v>10</v>
      </c>
      <c r="O629" s="5" t="s">
        <v>24</v>
      </c>
      <c r="P629" s="5">
        <v>7532</v>
      </c>
      <c r="Q629" s="5" t="s">
        <v>25</v>
      </c>
      <c r="R629" s="2">
        <v>1010995.05</v>
      </c>
      <c r="S629" s="2">
        <v>214649.05</v>
      </c>
      <c r="T629" s="1">
        <v>45927</v>
      </c>
      <c r="U629" s="5">
        <v>9</v>
      </c>
    </row>
    <row r="630" spans="1:21" x14ac:dyDescent="0.3">
      <c r="A630" s="5" t="s">
        <v>691</v>
      </c>
      <c r="B630" s="1">
        <v>45943</v>
      </c>
      <c r="C630" s="5" t="s">
        <v>35</v>
      </c>
      <c r="D630" s="5" t="s">
        <v>53</v>
      </c>
      <c r="E630" s="5" t="s">
        <v>29</v>
      </c>
      <c r="F630" s="5" t="s">
        <v>58</v>
      </c>
      <c r="G630" s="5" t="s">
        <v>22</v>
      </c>
      <c r="H630" s="5" t="s">
        <v>39</v>
      </c>
      <c r="I630" s="5">
        <v>334</v>
      </c>
      <c r="J630" s="5">
        <v>3228</v>
      </c>
      <c r="K630" s="5">
        <v>4457.6099999999997</v>
      </c>
      <c r="L630" s="5">
        <v>805</v>
      </c>
      <c r="M630" s="5">
        <v>176</v>
      </c>
      <c r="N630" s="5">
        <v>4</v>
      </c>
      <c r="O630" s="5" t="s">
        <v>32</v>
      </c>
      <c r="P630" s="5">
        <v>3967</v>
      </c>
      <c r="Q630" s="5" t="s">
        <v>33</v>
      </c>
      <c r="R630" s="2">
        <v>1488841.74</v>
      </c>
      <c r="S630" s="2">
        <v>410689.74</v>
      </c>
      <c r="T630" s="1">
        <v>45943</v>
      </c>
      <c r="U630" s="5">
        <v>10</v>
      </c>
    </row>
    <row r="631" spans="1:21" x14ac:dyDescent="0.3">
      <c r="A631" s="5" t="s">
        <v>692</v>
      </c>
      <c r="B631" s="1">
        <v>45815</v>
      </c>
      <c r="C631" s="5" t="s">
        <v>18</v>
      </c>
      <c r="D631" s="5" t="s">
        <v>28</v>
      </c>
      <c r="E631" s="5" t="s">
        <v>49</v>
      </c>
      <c r="F631" s="5" t="s">
        <v>94</v>
      </c>
      <c r="G631" s="5" t="s">
        <v>31</v>
      </c>
      <c r="H631" s="5" t="s">
        <v>23</v>
      </c>
      <c r="I631" s="5">
        <v>65</v>
      </c>
      <c r="J631" s="5">
        <v>3329</v>
      </c>
      <c r="K631" s="5">
        <v>4876.8599999999997</v>
      </c>
      <c r="L631" s="5">
        <v>788</v>
      </c>
      <c r="M631" s="5">
        <v>202</v>
      </c>
      <c r="N631" s="5">
        <v>1</v>
      </c>
      <c r="O631" s="5" t="s">
        <v>32</v>
      </c>
      <c r="P631" s="5">
        <v>368</v>
      </c>
      <c r="Q631" s="5" t="s">
        <v>33</v>
      </c>
      <c r="R631" s="2">
        <v>316995.90000000002</v>
      </c>
      <c r="S631" s="2">
        <v>100610.9</v>
      </c>
      <c r="T631" s="1">
        <v>45815</v>
      </c>
      <c r="U631" s="5">
        <v>6</v>
      </c>
    </row>
    <row r="632" spans="1:21" x14ac:dyDescent="0.3">
      <c r="A632" s="5" t="s">
        <v>693</v>
      </c>
      <c r="B632" s="1">
        <v>45763</v>
      </c>
      <c r="C632" s="5" t="s">
        <v>18</v>
      </c>
      <c r="D632" s="5" t="s">
        <v>53</v>
      </c>
      <c r="E632" s="5" t="s">
        <v>54</v>
      </c>
      <c r="F632" s="5" t="s">
        <v>55</v>
      </c>
      <c r="G632" s="5" t="s">
        <v>22</v>
      </c>
      <c r="H632" s="5" t="s">
        <v>23</v>
      </c>
      <c r="I632" s="5">
        <v>429</v>
      </c>
      <c r="J632" s="5">
        <v>1641</v>
      </c>
      <c r="K632" s="5">
        <v>2296.9499999999998</v>
      </c>
      <c r="L632" s="5">
        <v>368</v>
      </c>
      <c r="M632" s="5">
        <v>298</v>
      </c>
      <c r="N632" s="5">
        <v>5</v>
      </c>
      <c r="O632" s="5" t="s">
        <v>32</v>
      </c>
      <c r="P632" s="5">
        <v>6220</v>
      </c>
      <c r="Q632" s="5" t="s">
        <v>33</v>
      </c>
      <c r="R632" s="2">
        <v>985391.55</v>
      </c>
      <c r="S632" s="2">
        <v>281402.55</v>
      </c>
      <c r="T632" s="1">
        <v>45763</v>
      </c>
      <c r="U632" s="5">
        <v>4</v>
      </c>
    </row>
    <row r="633" spans="1:21" x14ac:dyDescent="0.3">
      <c r="A633" s="5" t="s">
        <v>694</v>
      </c>
      <c r="B633" s="1">
        <v>45746</v>
      </c>
      <c r="C633" s="5" t="s">
        <v>42</v>
      </c>
      <c r="D633" s="5" t="s">
        <v>28</v>
      </c>
      <c r="E633" s="5" t="s">
        <v>20</v>
      </c>
      <c r="F633" s="5" t="s">
        <v>37</v>
      </c>
      <c r="G633" s="5" t="s">
        <v>22</v>
      </c>
      <c r="H633" s="5" t="s">
        <v>23</v>
      </c>
      <c r="I633" s="5">
        <v>283</v>
      </c>
      <c r="J633" s="5">
        <v>263</v>
      </c>
      <c r="K633" s="5">
        <v>364.91</v>
      </c>
      <c r="L633" s="5">
        <v>137</v>
      </c>
      <c r="M633" s="5">
        <v>264</v>
      </c>
      <c r="N633" s="5">
        <v>7</v>
      </c>
      <c r="O633" s="5" t="s">
        <v>24</v>
      </c>
      <c r="P633" s="5">
        <v>4316</v>
      </c>
      <c r="Q633" s="5" t="s">
        <v>46</v>
      </c>
      <c r="R633" s="2">
        <v>103269.53</v>
      </c>
      <c r="S633" s="2">
        <v>28840.53</v>
      </c>
      <c r="T633" s="1">
        <v>45746</v>
      </c>
      <c r="U633" s="5">
        <v>3</v>
      </c>
    </row>
    <row r="634" spans="1:21" x14ac:dyDescent="0.3">
      <c r="A634" s="5" t="s">
        <v>695</v>
      </c>
      <c r="B634" s="1">
        <v>45815</v>
      </c>
      <c r="C634" s="5" t="s">
        <v>42</v>
      </c>
      <c r="D634" s="5" t="s">
        <v>28</v>
      </c>
      <c r="E634" s="5" t="s">
        <v>49</v>
      </c>
      <c r="F634" s="5" t="s">
        <v>75</v>
      </c>
      <c r="G634" s="5" t="s">
        <v>31</v>
      </c>
      <c r="H634" s="5" t="s">
        <v>51</v>
      </c>
      <c r="I634" s="5">
        <v>314</v>
      </c>
      <c r="J634" s="5">
        <v>355</v>
      </c>
      <c r="K634" s="5">
        <v>497.51</v>
      </c>
      <c r="L634" s="5">
        <v>843</v>
      </c>
      <c r="M634" s="5">
        <v>236</v>
      </c>
      <c r="N634" s="5">
        <v>10</v>
      </c>
      <c r="O634" s="5" t="s">
        <v>24</v>
      </c>
      <c r="P634" s="5">
        <v>1671</v>
      </c>
      <c r="Q634" s="5" t="s">
        <v>46</v>
      </c>
      <c r="R634" s="2">
        <v>156218.14000000001</v>
      </c>
      <c r="S634" s="2">
        <v>44748.14</v>
      </c>
      <c r="T634" s="1">
        <v>45815</v>
      </c>
      <c r="U634" s="5">
        <v>6</v>
      </c>
    </row>
    <row r="635" spans="1:21" x14ac:dyDescent="0.3">
      <c r="A635" s="5" t="s">
        <v>696</v>
      </c>
      <c r="B635" s="1">
        <v>46018</v>
      </c>
      <c r="C635" s="5" t="s">
        <v>42</v>
      </c>
      <c r="D635" s="5" t="s">
        <v>36</v>
      </c>
      <c r="E635" s="5" t="s">
        <v>49</v>
      </c>
      <c r="F635" s="5" t="s">
        <v>94</v>
      </c>
      <c r="G635" s="5" t="s">
        <v>56</v>
      </c>
      <c r="H635" s="5" t="s">
        <v>23</v>
      </c>
      <c r="I635" s="5">
        <v>431</v>
      </c>
      <c r="J635" s="5">
        <v>947</v>
      </c>
      <c r="K635" s="5">
        <v>1219.68</v>
      </c>
      <c r="L635" s="5">
        <v>1616</v>
      </c>
      <c r="M635" s="5">
        <v>192</v>
      </c>
      <c r="N635" s="5">
        <v>7</v>
      </c>
      <c r="O635" s="5" t="s">
        <v>24</v>
      </c>
      <c r="P635" s="5">
        <v>611</v>
      </c>
      <c r="Q635" s="5" t="s">
        <v>25</v>
      </c>
      <c r="R635" s="2">
        <v>525682.07999999996</v>
      </c>
      <c r="S635" s="2">
        <v>117525.08</v>
      </c>
      <c r="T635" s="1">
        <v>46018</v>
      </c>
      <c r="U635" s="5">
        <v>12</v>
      </c>
    </row>
    <row r="636" spans="1:21" x14ac:dyDescent="0.3">
      <c r="A636" s="5" t="s">
        <v>697</v>
      </c>
      <c r="B636" s="1">
        <v>45803</v>
      </c>
      <c r="C636" s="5" t="s">
        <v>42</v>
      </c>
      <c r="D636" s="5" t="s">
        <v>19</v>
      </c>
      <c r="E636" s="5" t="s">
        <v>49</v>
      </c>
      <c r="F636" s="5" t="s">
        <v>94</v>
      </c>
      <c r="G636" s="5" t="s">
        <v>56</v>
      </c>
      <c r="H636" s="5" t="s">
        <v>39</v>
      </c>
      <c r="I636" s="5">
        <v>258</v>
      </c>
      <c r="J636" s="5">
        <v>826</v>
      </c>
      <c r="K636" s="5">
        <v>1218.6400000000001</v>
      </c>
      <c r="L636" s="5">
        <v>714</v>
      </c>
      <c r="M636" s="5">
        <v>299</v>
      </c>
      <c r="N636" s="5">
        <v>9</v>
      </c>
      <c r="O636" s="5" t="s">
        <v>24</v>
      </c>
      <c r="P636" s="5">
        <v>4627</v>
      </c>
      <c r="Q636" s="5" t="s">
        <v>46</v>
      </c>
      <c r="R636" s="2">
        <v>314409.12</v>
      </c>
      <c r="S636" s="2">
        <v>101301.12</v>
      </c>
      <c r="T636" s="1">
        <v>45803</v>
      </c>
      <c r="U636" s="5">
        <v>5</v>
      </c>
    </row>
    <row r="637" spans="1:21" x14ac:dyDescent="0.3">
      <c r="A637" s="5" t="s">
        <v>698</v>
      </c>
      <c r="B637" s="1">
        <v>45777</v>
      </c>
      <c r="C637" s="5" t="s">
        <v>42</v>
      </c>
      <c r="D637" s="5" t="s">
        <v>53</v>
      </c>
      <c r="E637" s="5" t="s">
        <v>29</v>
      </c>
      <c r="F637" s="5" t="s">
        <v>73</v>
      </c>
      <c r="G637" s="5" t="s">
        <v>56</v>
      </c>
      <c r="H637" s="5" t="s">
        <v>23</v>
      </c>
      <c r="I637" s="5">
        <v>22</v>
      </c>
      <c r="J637" s="5">
        <v>3011</v>
      </c>
      <c r="K637" s="5">
        <v>3615.12</v>
      </c>
      <c r="L637" s="5">
        <v>832</v>
      </c>
      <c r="M637" s="5">
        <v>121</v>
      </c>
      <c r="N637" s="5">
        <v>8</v>
      </c>
      <c r="O637" s="5" t="s">
        <v>24</v>
      </c>
      <c r="P637" s="5">
        <v>2920</v>
      </c>
      <c r="Q637" s="5" t="s">
        <v>40</v>
      </c>
      <c r="R637" s="2">
        <v>79532.639999999999</v>
      </c>
      <c r="S637" s="2">
        <v>13290.64</v>
      </c>
      <c r="T637" s="1">
        <v>45777</v>
      </c>
      <c r="U637" s="5">
        <v>4</v>
      </c>
    </row>
    <row r="638" spans="1:21" x14ac:dyDescent="0.3">
      <c r="A638" s="5" t="s">
        <v>699</v>
      </c>
      <c r="B638" s="1">
        <v>45957</v>
      </c>
      <c r="C638" s="5" t="s">
        <v>42</v>
      </c>
      <c r="D638" s="5" t="s">
        <v>28</v>
      </c>
      <c r="E638" s="5" t="s">
        <v>29</v>
      </c>
      <c r="F638" s="5" t="s">
        <v>73</v>
      </c>
      <c r="G638" s="5" t="s">
        <v>31</v>
      </c>
      <c r="H638" s="5" t="s">
        <v>39</v>
      </c>
      <c r="I638" s="5">
        <v>62</v>
      </c>
      <c r="J638" s="5">
        <v>1892</v>
      </c>
      <c r="K638" s="5">
        <v>2493.0700000000002</v>
      </c>
      <c r="L638" s="5">
        <v>1855</v>
      </c>
      <c r="M638" s="5">
        <v>242</v>
      </c>
      <c r="N638" s="5">
        <v>3</v>
      </c>
      <c r="O638" s="5" t="s">
        <v>32</v>
      </c>
      <c r="P638" s="5">
        <v>5639</v>
      </c>
      <c r="Q638" s="5" t="s">
        <v>33</v>
      </c>
      <c r="R638" s="2">
        <v>154570.34</v>
      </c>
      <c r="S638" s="2">
        <v>37266.339999999997</v>
      </c>
      <c r="T638" s="1">
        <v>45957</v>
      </c>
      <c r="U638" s="5">
        <v>10</v>
      </c>
    </row>
    <row r="639" spans="1:21" x14ac:dyDescent="0.3">
      <c r="A639" s="5" t="s">
        <v>700</v>
      </c>
      <c r="B639" s="1">
        <v>45697</v>
      </c>
      <c r="C639" s="5" t="s">
        <v>42</v>
      </c>
      <c r="D639" s="5" t="s">
        <v>53</v>
      </c>
      <c r="E639" s="5" t="s">
        <v>20</v>
      </c>
      <c r="F639" s="5" t="s">
        <v>21</v>
      </c>
      <c r="G639" s="5" t="s">
        <v>22</v>
      </c>
      <c r="H639" s="5" t="s">
        <v>51</v>
      </c>
      <c r="I639" s="5">
        <v>226</v>
      </c>
      <c r="J639" s="5">
        <v>578</v>
      </c>
      <c r="K639" s="5">
        <v>825.4</v>
      </c>
      <c r="L639" s="5">
        <v>183</v>
      </c>
      <c r="M639" s="5">
        <v>165</v>
      </c>
      <c r="N639" s="5">
        <v>7</v>
      </c>
      <c r="O639" s="5" t="s">
        <v>24</v>
      </c>
      <c r="P639" s="5">
        <v>3022</v>
      </c>
      <c r="Q639" s="5" t="s">
        <v>33</v>
      </c>
      <c r="R639" s="2">
        <v>186540.4</v>
      </c>
      <c r="S639" s="2">
        <v>55912.4</v>
      </c>
      <c r="T639" s="1">
        <v>45697</v>
      </c>
      <c r="U639" s="5">
        <v>2</v>
      </c>
    </row>
    <row r="640" spans="1:21" x14ac:dyDescent="0.3">
      <c r="A640" s="5" t="s">
        <v>701</v>
      </c>
      <c r="B640" s="1">
        <v>45703</v>
      </c>
      <c r="C640" s="5" t="s">
        <v>27</v>
      </c>
      <c r="D640" s="5" t="s">
        <v>36</v>
      </c>
      <c r="E640" s="5" t="s">
        <v>20</v>
      </c>
      <c r="F640" s="5" t="s">
        <v>21</v>
      </c>
      <c r="G640" s="5" t="s">
        <v>22</v>
      </c>
      <c r="H640" s="5" t="s">
        <v>39</v>
      </c>
      <c r="I640" s="5">
        <v>24</v>
      </c>
      <c r="J640" s="5">
        <v>3105</v>
      </c>
      <c r="K640" s="5">
        <v>4608.4799999999996</v>
      </c>
      <c r="L640" s="5">
        <v>606</v>
      </c>
      <c r="M640" s="5">
        <v>211</v>
      </c>
      <c r="N640" s="5">
        <v>10</v>
      </c>
      <c r="O640" s="5" t="s">
        <v>24</v>
      </c>
      <c r="P640" s="5">
        <v>2007</v>
      </c>
      <c r="Q640" s="5" t="s">
        <v>33</v>
      </c>
      <c r="R640" s="2">
        <v>110603.52</v>
      </c>
      <c r="S640" s="2">
        <v>36083.519999999997</v>
      </c>
      <c r="T640" s="1">
        <v>45703</v>
      </c>
      <c r="U640" s="5">
        <v>2</v>
      </c>
    </row>
    <row r="641" spans="1:21" x14ac:dyDescent="0.3">
      <c r="A641" s="5" t="s">
        <v>702</v>
      </c>
      <c r="B641" s="1">
        <v>45969</v>
      </c>
      <c r="C641" s="5" t="s">
        <v>42</v>
      </c>
      <c r="D641" s="5" t="s">
        <v>28</v>
      </c>
      <c r="E641" s="5" t="s">
        <v>49</v>
      </c>
      <c r="F641" s="5" t="s">
        <v>94</v>
      </c>
      <c r="G641" s="5" t="s">
        <v>38</v>
      </c>
      <c r="H641" s="5" t="s">
        <v>39</v>
      </c>
      <c r="I641" s="5">
        <v>280</v>
      </c>
      <c r="J641" s="5">
        <v>766</v>
      </c>
      <c r="K641" s="5">
        <v>941.83</v>
      </c>
      <c r="L641" s="5">
        <v>1200</v>
      </c>
      <c r="M641" s="5">
        <v>83</v>
      </c>
      <c r="N641" s="5">
        <v>1</v>
      </c>
      <c r="O641" s="5" t="s">
        <v>32</v>
      </c>
      <c r="P641" s="5">
        <v>6651</v>
      </c>
      <c r="Q641" s="5" t="s">
        <v>33</v>
      </c>
      <c r="R641" s="2">
        <v>263712.40000000002</v>
      </c>
      <c r="S641" s="2">
        <v>49232.4</v>
      </c>
      <c r="T641" s="1">
        <v>45969</v>
      </c>
      <c r="U641" s="5">
        <v>11</v>
      </c>
    </row>
    <row r="642" spans="1:21" x14ac:dyDescent="0.3">
      <c r="A642" s="5" t="s">
        <v>703</v>
      </c>
      <c r="B642" s="1">
        <v>45935</v>
      </c>
      <c r="C642" s="5" t="s">
        <v>18</v>
      </c>
      <c r="D642" s="5" t="s">
        <v>36</v>
      </c>
      <c r="E642" s="5" t="s">
        <v>49</v>
      </c>
      <c r="F642" s="5" t="s">
        <v>89</v>
      </c>
      <c r="G642" s="5" t="s">
        <v>22</v>
      </c>
      <c r="H642" s="5" t="s">
        <v>23</v>
      </c>
      <c r="I642" s="5">
        <v>250</v>
      </c>
      <c r="J642" s="5">
        <v>1762</v>
      </c>
      <c r="K642" s="5">
        <v>2426.25</v>
      </c>
      <c r="L642" s="5">
        <v>1436</v>
      </c>
      <c r="M642" s="5">
        <v>109</v>
      </c>
      <c r="N642" s="5">
        <v>9</v>
      </c>
      <c r="O642" s="5" t="s">
        <v>24</v>
      </c>
      <c r="P642" s="5">
        <v>3451</v>
      </c>
      <c r="Q642" s="5" t="s">
        <v>33</v>
      </c>
      <c r="R642" s="2">
        <v>606562.5</v>
      </c>
      <c r="S642" s="2">
        <v>166062.5</v>
      </c>
      <c r="T642" s="1">
        <v>45935</v>
      </c>
      <c r="U642" s="5">
        <v>10</v>
      </c>
    </row>
    <row r="643" spans="1:21" x14ac:dyDescent="0.3">
      <c r="A643" s="5" t="s">
        <v>704</v>
      </c>
      <c r="B643" s="1">
        <v>45901</v>
      </c>
      <c r="C643" s="5" t="s">
        <v>35</v>
      </c>
      <c r="D643" s="5" t="s">
        <v>53</v>
      </c>
      <c r="E643" s="5" t="s">
        <v>49</v>
      </c>
      <c r="F643" s="5" t="s">
        <v>65</v>
      </c>
      <c r="G643" s="5" t="s">
        <v>56</v>
      </c>
      <c r="H643" s="5" t="s">
        <v>23</v>
      </c>
      <c r="I643" s="5">
        <v>152</v>
      </c>
      <c r="J643" s="5">
        <v>1254</v>
      </c>
      <c r="K643" s="5">
        <v>1843.87</v>
      </c>
      <c r="L643" s="5">
        <v>1422</v>
      </c>
      <c r="M643" s="5">
        <v>212</v>
      </c>
      <c r="N643" s="5">
        <v>8</v>
      </c>
      <c r="O643" s="5" t="s">
        <v>24</v>
      </c>
      <c r="P643" s="5">
        <v>7503</v>
      </c>
      <c r="Q643" s="5" t="s">
        <v>40</v>
      </c>
      <c r="R643" s="2">
        <v>280268.24</v>
      </c>
      <c r="S643" s="2">
        <v>89660.24</v>
      </c>
      <c r="T643" s="1">
        <v>45901</v>
      </c>
      <c r="U643" s="5">
        <v>9</v>
      </c>
    </row>
    <row r="644" spans="1:21" x14ac:dyDescent="0.3">
      <c r="A644" s="5" t="s">
        <v>705</v>
      </c>
      <c r="B644" s="1">
        <v>45903</v>
      </c>
      <c r="C644" s="5" t="s">
        <v>35</v>
      </c>
      <c r="D644" s="5" t="s">
        <v>53</v>
      </c>
      <c r="E644" s="5" t="s">
        <v>54</v>
      </c>
      <c r="F644" s="5" t="s">
        <v>55</v>
      </c>
      <c r="G644" s="5" t="s">
        <v>38</v>
      </c>
      <c r="H644" s="5" t="s">
        <v>39</v>
      </c>
      <c r="I644" s="5">
        <v>34</v>
      </c>
      <c r="J644" s="5">
        <v>1264</v>
      </c>
      <c r="K644" s="5">
        <v>1674.68</v>
      </c>
      <c r="L644" s="5">
        <v>1787</v>
      </c>
      <c r="M644" s="5">
        <v>103</v>
      </c>
      <c r="N644" s="5">
        <v>10</v>
      </c>
      <c r="O644" s="5" t="s">
        <v>24</v>
      </c>
      <c r="P644" s="5">
        <v>1168</v>
      </c>
      <c r="Q644" s="5" t="s">
        <v>33</v>
      </c>
      <c r="R644" s="2">
        <v>56939.12</v>
      </c>
      <c r="S644" s="2">
        <v>13963.12</v>
      </c>
      <c r="T644" s="1">
        <v>45903</v>
      </c>
      <c r="U644" s="5">
        <v>9</v>
      </c>
    </row>
    <row r="645" spans="1:21" x14ac:dyDescent="0.3">
      <c r="A645" s="5" t="s">
        <v>706</v>
      </c>
      <c r="B645" s="1">
        <v>45810</v>
      </c>
      <c r="C645" s="5" t="s">
        <v>35</v>
      </c>
      <c r="D645" s="5" t="s">
        <v>36</v>
      </c>
      <c r="E645" s="5" t="s">
        <v>20</v>
      </c>
      <c r="F645" s="5" t="s">
        <v>37</v>
      </c>
      <c r="G645" s="5" t="s">
        <v>56</v>
      </c>
      <c r="H645" s="5" t="s">
        <v>51</v>
      </c>
      <c r="I645" s="5">
        <v>282</v>
      </c>
      <c r="J645" s="5">
        <v>136</v>
      </c>
      <c r="K645" s="5">
        <v>190.61</v>
      </c>
      <c r="L645" s="5">
        <v>1085</v>
      </c>
      <c r="M645" s="5">
        <v>182</v>
      </c>
      <c r="N645" s="5">
        <v>6</v>
      </c>
      <c r="O645" s="5" t="s">
        <v>24</v>
      </c>
      <c r="P645" s="5">
        <v>6085</v>
      </c>
      <c r="Q645" s="5" t="s">
        <v>40</v>
      </c>
      <c r="R645" s="2">
        <v>53752.02</v>
      </c>
      <c r="S645" s="2">
        <v>15400.02</v>
      </c>
      <c r="T645" s="1">
        <v>45810</v>
      </c>
      <c r="U645" s="5">
        <v>6</v>
      </c>
    </row>
    <row r="646" spans="1:21" x14ac:dyDescent="0.3">
      <c r="A646" s="5" t="s">
        <v>707</v>
      </c>
      <c r="B646" s="1">
        <v>45738</v>
      </c>
      <c r="C646" s="5" t="s">
        <v>42</v>
      </c>
      <c r="D646" s="5" t="s">
        <v>53</v>
      </c>
      <c r="E646" s="5" t="s">
        <v>49</v>
      </c>
      <c r="F646" s="5" t="s">
        <v>94</v>
      </c>
      <c r="G646" s="5" t="s">
        <v>31</v>
      </c>
      <c r="H646" s="5" t="s">
        <v>23</v>
      </c>
      <c r="I646" s="5">
        <v>13</v>
      </c>
      <c r="J646" s="5">
        <v>4865</v>
      </c>
      <c r="K646" s="5">
        <v>6830.22</v>
      </c>
      <c r="L646" s="5">
        <v>400</v>
      </c>
      <c r="M646" s="5">
        <v>156</v>
      </c>
      <c r="N646" s="5">
        <v>10</v>
      </c>
      <c r="O646" s="5" t="s">
        <v>24</v>
      </c>
      <c r="P646" s="5">
        <v>1505</v>
      </c>
      <c r="Q646" s="5" t="s">
        <v>40</v>
      </c>
      <c r="R646" s="2">
        <v>88792.86</v>
      </c>
      <c r="S646" s="2">
        <v>25547.86</v>
      </c>
      <c r="T646" s="1">
        <v>45738</v>
      </c>
      <c r="U646" s="5">
        <v>3</v>
      </c>
    </row>
    <row r="647" spans="1:21" x14ac:dyDescent="0.3">
      <c r="A647" s="5" t="s">
        <v>708</v>
      </c>
      <c r="B647" s="1">
        <v>45769</v>
      </c>
      <c r="C647" s="5" t="s">
        <v>18</v>
      </c>
      <c r="D647" s="5" t="s">
        <v>53</v>
      </c>
      <c r="E647" s="5" t="s">
        <v>20</v>
      </c>
      <c r="F647" s="5" t="s">
        <v>37</v>
      </c>
      <c r="G647" s="5" t="s">
        <v>22</v>
      </c>
      <c r="H647" s="5" t="s">
        <v>23</v>
      </c>
      <c r="I647" s="5">
        <v>373</v>
      </c>
      <c r="J647" s="5">
        <v>2450</v>
      </c>
      <c r="K647" s="5">
        <v>3366.52</v>
      </c>
      <c r="L647" s="5">
        <v>1492</v>
      </c>
      <c r="M647" s="5">
        <v>144</v>
      </c>
      <c r="N647" s="5">
        <v>8</v>
      </c>
      <c r="O647" s="5" t="s">
        <v>24</v>
      </c>
      <c r="P647" s="5">
        <v>7839</v>
      </c>
      <c r="Q647" s="5" t="s">
        <v>25</v>
      </c>
      <c r="R647" s="2">
        <v>1255711.96</v>
      </c>
      <c r="S647" s="2">
        <v>341861.96</v>
      </c>
      <c r="T647" s="1">
        <v>45769</v>
      </c>
      <c r="U647" s="5">
        <v>4</v>
      </c>
    </row>
    <row r="648" spans="1:21" x14ac:dyDescent="0.3">
      <c r="A648" s="5" t="s">
        <v>709</v>
      </c>
      <c r="B648" s="1">
        <v>45666</v>
      </c>
      <c r="C648" s="5" t="s">
        <v>35</v>
      </c>
      <c r="D648" s="5" t="s">
        <v>36</v>
      </c>
      <c r="E648" s="5" t="s">
        <v>49</v>
      </c>
      <c r="F648" s="5" t="s">
        <v>65</v>
      </c>
      <c r="G648" s="5" t="s">
        <v>38</v>
      </c>
      <c r="H648" s="5" t="s">
        <v>39</v>
      </c>
      <c r="I648" s="5">
        <v>457</v>
      </c>
      <c r="J648" s="5">
        <v>3489</v>
      </c>
      <c r="K648" s="5">
        <v>5123.09</v>
      </c>
      <c r="L648" s="5">
        <v>186</v>
      </c>
      <c r="M648" s="5">
        <v>158</v>
      </c>
      <c r="N648" s="5">
        <v>10</v>
      </c>
      <c r="O648" s="5" t="s">
        <v>24</v>
      </c>
      <c r="P648" s="5">
        <v>5013</v>
      </c>
      <c r="Q648" s="5" t="s">
        <v>46</v>
      </c>
      <c r="R648" s="2">
        <v>2341252.13</v>
      </c>
      <c r="S648" s="2">
        <v>746779.13</v>
      </c>
      <c r="T648" s="1">
        <v>45666</v>
      </c>
      <c r="U648" s="5">
        <v>1</v>
      </c>
    </row>
    <row r="649" spans="1:21" x14ac:dyDescent="0.3">
      <c r="A649" s="5" t="s">
        <v>710</v>
      </c>
      <c r="B649" s="1">
        <v>45764</v>
      </c>
      <c r="C649" s="5" t="s">
        <v>35</v>
      </c>
      <c r="D649" s="5" t="s">
        <v>53</v>
      </c>
      <c r="E649" s="5" t="s">
        <v>29</v>
      </c>
      <c r="F649" s="5" t="s">
        <v>73</v>
      </c>
      <c r="G649" s="5" t="s">
        <v>38</v>
      </c>
      <c r="H649" s="5" t="s">
        <v>39</v>
      </c>
      <c r="I649" s="5">
        <v>316</v>
      </c>
      <c r="J649" s="5">
        <v>1386</v>
      </c>
      <c r="K649" s="5">
        <v>1694.34</v>
      </c>
      <c r="L649" s="5">
        <v>789</v>
      </c>
      <c r="M649" s="5">
        <v>248</v>
      </c>
      <c r="N649" s="5">
        <v>10</v>
      </c>
      <c r="O649" s="5" t="s">
        <v>24</v>
      </c>
      <c r="P649" s="5">
        <v>1566</v>
      </c>
      <c r="Q649" s="5" t="s">
        <v>40</v>
      </c>
      <c r="R649" s="2">
        <v>535411.43999999994</v>
      </c>
      <c r="S649" s="2">
        <v>97435.44</v>
      </c>
      <c r="T649" s="1">
        <v>45764</v>
      </c>
      <c r="U649" s="5">
        <v>4</v>
      </c>
    </row>
    <row r="650" spans="1:21" x14ac:dyDescent="0.3">
      <c r="A650" s="5" t="s">
        <v>711</v>
      </c>
      <c r="B650" s="1">
        <v>45927</v>
      </c>
      <c r="C650" s="5" t="s">
        <v>42</v>
      </c>
      <c r="D650" s="5" t="s">
        <v>62</v>
      </c>
      <c r="E650" s="5" t="s">
        <v>29</v>
      </c>
      <c r="F650" s="5" t="s">
        <v>69</v>
      </c>
      <c r="G650" s="5" t="s">
        <v>22</v>
      </c>
      <c r="H650" s="5" t="s">
        <v>39</v>
      </c>
      <c r="I650" s="5">
        <v>347</v>
      </c>
      <c r="J650" s="5">
        <v>4726</v>
      </c>
      <c r="K650" s="5">
        <v>6685.49</v>
      </c>
      <c r="L650" s="5">
        <v>417</v>
      </c>
      <c r="M650" s="5">
        <v>149</v>
      </c>
      <c r="N650" s="5">
        <v>6</v>
      </c>
      <c r="O650" s="5" t="s">
        <v>24</v>
      </c>
      <c r="P650" s="5">
        <v>1285</v>
      </c>
      <c r="Q650" s="5" t="s">
        <v>25</v>
      </c>
      <c r="R650" s="2">
        <v>2319865.0299999998</v>
      </c>
      <c r="S650" s="2">
        <v>679943.03</v>
      </c>
      <c r="T650" s="1">
        <v>45927</v>
      </c>
      <c r="U650" s="5">
        <v>9</v>
      </c>
    </row>
    <row r="651" spans="1:21" x14ac:dyDescent="0.3">
      <c r="A651" s="5" t="s">
        <v>712</v>
      </c>
      <c r="B651" s="1">
        <v>45899</v>
      </c>
      <c r="C651" s="5" t="s">
        <v>35</v>
      </c>
      <c r="D651" s="5" t="s">
        <v>19</v>
      </c>
      <c r="E651" s="5" t="s">
        <v>54</v>
      </c>
      <c r="F651" s="5" t="s">
        <v>63</v>
      </c>
      <c r="G651" s="5" t="s">
        <v>31</v>
      </c>
      <c r="H651" s="5" t="s">
        <v>39</v>
      </c>
      <c r="I651" s="5">
        <v>200</v>
      </c>
      <c r="J651" s="5">
        <v>1347</v>
      </c>
      <c r="K651" s="5">
        <v>1934.99</v>
      </c>
      <c r="L651" s="5">
        <v>1980</v>
      </c>
      <c r="M651" s="5">
        <v>182</v>
      </c>
      <c r="N651" s="5">
        <v>10</v>
      </c>
      <c r="O651" s="5" t="s">
        <v>24</v>
      </c>
      <c r="P651" s="5">
        <v>7456</v>
      </c>
      <c r="Q651" s="5" t="s">
        <v>40</v>
      </c>
      <c r="R651" s="2">
        <v>386998</v>
      </c>
      <c r="S651" s="2">
        <v>117598</v>
      </c>
      <c r="T651" s="1">
        <v>45899</v>
      </c>
      <c r="U651" s="5">
        <v>8</v>
      </c>
    </row>
    <row r="652" spans="1:21" x14ac:dyDescent="0.3">
      <c r="A652" s="5" t="s">
        <v>713</v>
      </c>
      <c r="B652" s="1">
        <v>45699</v>
      </c>
      <c r="C652" s="5" t="s">
        <v>35</v>
      </c>
      <c r="D652" s="5" t="s">
        <v>28</v>
      </c>
      <c r="E652" s="5" t="s">
        <v>49</v>
      </c>
      <c r="F652" s="5" t="s">
        <v>94</v>
      </c>
      <c r="G652" s="5" t="s">
        <v>31</v>
      </c>
      <c r="H652" s="5" t="s">
        <v>23</v>
      </c>
      <c r="I652" s="5">
        <v>71</v>
      </c>
      <c r="J652" s="5">
        <v>3020</v>
      </c>
      <c r="K652" s="5">
        <v>3945.73</v>
      </c>
      <c r="L652" s="5">
        <v>506</v>
      </c>
      <c r="M652" s="5">
        <v>202</v>
      </c>
      <c r="N652" s="5">
        <v>5</v>
      </c>
      <c r="O652" s="5" t="s">
        <v>32</v>
      </c>
      <c r="P652" s="5">
        <v>1035</v>
      </c>
      <c r="Q652" s="5" t="s">
        <v>33</v>
      </c>
      <c r="R652" s="2">
        <v>280146.83</v>
      </c>
      <c r="S652" s="2">
        <v>65726.83</v>
      </c>
      <c r="T652" s="1">
        <v>45699</v>
      </c>
      <c r="U652" s="5">
        <v>2</v>
      </c>
    </row>
    <row r="653" spans="1:21" x14ac:dyDescent="0.3">
      <c r="A653" s="5" t="s">
        <v>714</v>
      </c>
      <c r="B653" s="1">
        <v>46012</v>
      </c>
      <c r="C653" s="5" t="s">
        <v>27</v>
      </c>
      <c r="D653" s="5" t="s">
        <v>19</v>
      </c>
      <c r="E653" s="5" t="s">
        <v>29</v>
      </c>
      <c r="F653" s="5" t="s">
        <v>30</v>
      </c>
      <c r="G653" s="5" t="s">
        <v>38</v>
      </c>
      <c r="H653" s="5" t="s">
        <v>39</v>
      </c>
      <c r="I653" s="5">
        <v>267</v>
      </c>
      <c r="J653" s="5">
        <v>1476</v>
      </c>
      <c r="K653" s="5">
        <v>2027.38</v>
      </c>
      <c r="L653" s="5">
        <v>1431</v>
      </c>
      <c r="M653" s="5">
        <v>263</v>
      </c>
      <c r="N653" s="5">
        <v>4</v>
      </c>
      <c r="O653" s="5" t="s">
        <v>32</v>
      </c>
      <c r="P653" s="5">
        <v>302</v>
      </c>
      <c r="Q653" s="5" t="s">
        <v>33</v>
      </c>
      <c r="R653" s="2">
        <v>541310.46</v>
      </c>
      <c r="S653" s="2">
        <v>147218.46</v>
      </c>
      <c r="T653" s="1">
        <v>46012</v>
      </c>
      <c r="U653" s="5">
        <v>12</v>
      </c>
    </row>
    <row r="654" spans="1:21" x14ac:dyDescent="0.3">
      <c r="A654" s="5" t="s">
        <v>715</v>
      </c>
      <c r="B654" s="1">
        <v>45965</v>
      </c>
      <c r="C654" s="5" t="s">
        <v>42</v>
      </c>
      <c r="D654" s="5" t="s">
        <v>62</v>
      </c>
      <c r="E654" s="5" t="s">
        <v>54</v>
      </c>
      <c r="F654" s="5" t="s">
        <v>87</v>
      </c>
      <c r="G654" s="5" t="s">
        <v>56</v>
      </c>
      <c r="H654" s="5" t="s">
        <v>51</v>
      </c>
      <c r="I654" s="5">
        <v>241</v>
      </c>
      <c r="J654" s="5">
        <v>1971</v>
      </c>
      <c r="K654" s="5">
        <v>2599.65</v>
      </c>
      <c r="L654" s="5">
        <v>1351</v>
      </c>
      <c r="M654" s="5">
        <v>296</v>
      </c>
      <c r="N654" s="5">
        <v>4</v>
      </c>
      <c r="O654" s="5" t="s">
        <v>32</v>
      </c>
      <c r="P654" s="5">
        <v>3821</v>
      </c>
      <c r="Q654" s="5" t="s">
        <v>33</v>
      </c>
      <c r="R654" s="2">
        <v>626515.65</v>
      </c>
      <c r="S654" s="2">
        <v>151504.65</v>
      </c>
      <c r="T654" s="1">
        <v>45965</v>
      </c>
      <c r="U654" s="5">
        <v>11</v>
      </c>
    </row>
    <row r="655" spans="1:21" x14ac:dyDescent="0.3">
      <c r="A655" s="5" t="s">
        <v>716</v>
      </c>
      <c r="B655" s="1">
        <v>45826</v>
      </c>
      <c r="C655" s="5" t="s">
        <v>42</v>
      </c>
      <c r="D655" s="5" t="s">
        <v>28</v>
      </c>
      <c r="E655" s="5" t="s">
        <v>20</v>
      </c>
      <c r="F655" s="5" t="s">
        <v>37</v>
      </c>
      <c r="G655" s="5" t="s">
        <v>22</v>
      </c>
      <c r="H655" s="5" t="s">
        <v>39</v>
      </c>
      <c r="I655" s="5">
        <v>200</v>
      </c>
      <c r="J655" s="5">
        <v>4150</v>
      </c>
      <c r="K655" s="5">
        <v>6004.92</v>
      </c>
      <c r="L655" s="5">
        <v>241</v>
      </c>
      <c r="M655" s="5">
        <v>104</v>
      </c>
      <c r="N655" s="5">
        <v>9</v>
      </c>
      <c r="O655" s="5" t="s">
        <v>24</v>
      </c>
      <c r="P655" s="5">
        <v>982</v>
      </c>
      <c r="Q655" s="5" t="s">
        <v>40</v>
      </c>
      <c r="R655" s="2">
        <v>1200984</v>
      </c>
      <c r="S655" s="2">
        <v>370984</v>
      </c>
      <c r="T655" s="1">
        <v>45826</v>
      </c>
      <c r="U655" s="5">
        <v>6</v>
      </c>
    </row>
    <row r="656" spans="1:21" x14ac:dyDescent="0.3">
      <c r="A656" s="5" t="s">
        <v>717</v>
      </c>
      <c r="B656" s="1">
        <v>46014</v>
      </c>
      <c r="C656" s="5" t="s">
        <v>35</v>
      </c>
      <c r="D656" s="5" t="s">
        <v>36</v>
      </c>
      <c r="E656" s="5" t="s">
        <v>20</v>
      </c>
      <c r="F656" s="5" t="s">
        <v>45</v>
      </c>
      <c r="G656" s="5" t="s">
        <v>22</v>
      </c>
      <c r="H656" s="5" t="s">
        <v>39</v>
      </c>
      <c r="I656" s="5">
        <v>330</v>
      </c>
      <c r="J656" s="5">
        <v>4150</v>
      </c>
      <c r="K656" s="5">
        <v>6105.83</v>
      </c>
      <c r="L656" s="5">
        <v>1282</v>
      </c>
      <c r="M656" s="5">
        <v>95</v>
      </c>
      <c r="N656" s="5">
        <v>7</v>
      </c>
      <c r="O656" s="5" t="s">
        <v>24</v>
      </c>
      <c r="P656" s="5">
        <v>1429</v>
      </c>
      <c r="Q656" s="5" t="s">
        <v>46</v>
      </c>
      <c r="R656" s="2">
        <v>2014923.9</v>
      </c>
      <c r="S656" s="2">
        <v>645423.9</v>
      </c>
      <c r="T656" s="1">
        <v>46014</v>
      </c>
      <c r="U656" s="5">
        <v>12</v>
      </c>
    </row>
    <row r="657" spans="1:21" x14ac:dyDescent="0.3">
      <c r="A657" s="5" t="s">
        <v>718</v>
      </c>
      <c r="B657" s="1">
        <v>45727</v>
      </c>
      <c r="C657" s="5" t="s">
        <v>18</v>
      </c>
      <c r="D657" s="5" t="s">
        <v>28</v>
      </c>
      <c r="E657" s="5" t="s">
        <v>54</v>
      </c>
      <c r="F657" s="5" t="s">
        <v>81</v>
      </c>
      <c r="G657" s="5" t="s">
        <v>56</v>
      </c>
      <c r="H657" s="5" t="s">
        <v>51</v>
      </c>
      <c r="I657" s="5">
        <v>385</v>
      </c>
      <c r="J657" s="5">
        <v>1792</v>
      </c>
      <c r="K657" s="5">
        <v>2187.8200000000002</v>
      </c>
      <c r="L657" s="5">
        <v>1271</v>
      </c>
      <c r="M657" s="5">
        <v>274</v>
      </c>
      <c r="N657" s="5">
        <v>8</v>
      </c>
      <c r="O657" s="5" t="s">
        <v>24</v>
      </c>
      <c r="P657" s="5">
        <v>5755</v>
      </c>
      <c r="Q657" s="5" t="s">
        <v>33</v>
      </c>
      <c r="R657" s="2">
        <v>842310.7</v>
      </c>
      <c r="S657" s="2">
        <v>152390.70000000001</v>
      </c>
      <c r="T657" s="1">
        <v>45727</v>
      </c>
      <c r="U657" s="5">
        <v>3</v>
      </c>
    </row>
    <row r="658" spans="1:21" x14ac:dyDescent="0.3">
      <c r="A658" s="5" t="s">
        <v>719</v>
      </c>
      <c r="B658" s="1">
        <v>45715</v>
      </c>
      <c r="C658" s="5" t="s">
        <v>35</v>
      </c>
      <c r="D658" s="5" t="s">
        <v>19</v>
      </c>
      <c r="E658" s="5" t="s">
        <v>54</v>
      </c>
      <c r="F658" s="5" t="s">
        <v>55</v>
      </c>
      <c r="G658" s="5" t="s">
        <v>22</v>
      </c>
      <c r="H658" s="5" t="s">
        <v>51</v>
      </c>
      <c r="I658" s="5">
        <v>468</v>
      </c>
      <c r="J658" s="5">
        <v>4350</v>
      </c>
      <c r="K658" s="5">
        <v>6021.19</v>
      </c>
      <c r="L658" s="5">
        <v>859</v>
      </c>
      <c r="M658" s="5">
        <v>120</v>
      </c>
      <c r="N658" s="5">
        <v>1</v>
      </c>
      <c r="O658" s="5" t="s">
        <v>32</v>
      </c>
      <c r="P658" s="5">
        <v>607</v>
      </c>
      <c r="Q658" s="5" t="s">
        <v>33</v>
      </c>
      <c r="R658" s="2">
        <v>2817916.92</v>
      </c>
      <c r="S658" s="2">
        <v>782116.92</v>
      </c>
      <c r="T658" s="1">
        <v>45715</v>
      </c>
      <c r="U658" s="5">
        <v>2</v>
      </c>
    </row>
    <row r="659" spans="1:21" x14ac:dyDescent="0.3">
      <c r="A659" s="5" t="s">
        <v>720</v>
      </c>
      <c r="B659" s="1">
        <v>45839</v>
      </c>
      <c r="C659" s="5" t="s">
        <v>27</v>
      </c>
      <c r="D659" s="5" t="s">
        <v>62</v>
      </c>
      <c r="E659" s="5" t="s">
        <v>20</v>
      </c>
      <c r="F659" s="5" t="s">
        <v>45</v>
      </c>
      <c r="G659" s="5" t="s">
        <v>38</v>
      </c>
      <c r="H659" s="5" t="s">
        <v>23</v>
      </c>
      <c r="I659" s="5">
        <v>346</v>
      </c>
      <c r="J659" s="5">
        <v>4696</v>
      </c>
      <c r="K659" s="5">
        <v>5928.26</v>
      </c>
      <c r="L659" s="5">
        <v>1287</v>
      </c>
      <c r="M659" s="5">
        <v>238</v>
      </c>
      <c r="N659" s="5">
        <v>7</v>
      </c>
      <c r="O659" s="5" t="s">
        <v>24</v>
      </c>
      <c r="P659" s="5">
        <v>3104</v>
      </c>
      <c r="Q659" s="5" t="s">
        <v>33</v>
      </c>
      <c r="R659" s="2">
        <v>2051177.96</v>
      </c>
      <c r="S659" s="2">
        <v>426361.96</v>
      </c>
      <c r="T659" s="1">
        <v>45839</v>
      </c>
      <c r="U659" s="5">
        <v>7</v>
      </c>
    </row>
    <row r="660" spans="1:21" x14ac:dyDescent="0.3">
      <c r="A660" s="5" t="s">
        <v>721</v>
      </c>
      <c r="B660" s="1">
        <v>45688</v>
      </c>
      <c r="C660" s="5" t="s">
        <v>35</v>
      </c>
      <c r="D660" s="5" t="s">
        <v>53</v>
      </c>
      <c r="E660" s="5" t="s">
        <v>20</v>
      </c>
      <c r="F660" s="5" t="s">
        <v>100</v>
      </c>
      <c r="G660" s="5" t="s">
        <v>38</v>
      </c>
      <c r="H660" s="5" t="s">
        <v>23</v>
      </c>
      <c r="I660" s="5">
        <v>195</v>
      </c>
      <c r="J660" s="5">
        <v>1239</v>
      </c>
      <c r="K660" s="5">
        <v>1632.53</v>
      </c>
      <c r="L660" s="5">
        <v>1928</v>
      </c>
      <c r="M660" s="5">
        <v>206</v>
      </c>
      <c r="N660" s="5">
        <v>7</v>
      </c>
      <c r="O660" s="5" t="s">
        <v>24</v>
      </c>
      <c r="P660" s="5">
        <v>6633</v>
      </c>
      <c r="Q660" s="5" t="s">
        <v>33</v>
      </c>
      <c r="R660" s="2">
        <v>318343.34999999998</v>
      </c>
      <c r="S660" s="2">
        <v>76738.350000000006</v>
      </c>
      <c r="T660" s="1">
        <v>45688</v>
      </c>
      <c r="U660" s="5">
        <v>1</v>
      </c>
    </row>
    <row r="661" spans="1:21" x14ac:dyDescent="0.3">
      <c r="A661" s="5" t="s">
        <v>722</v>
      </c>
      <c r="B661" s="1">
        <v>45713</v>
      </c>
      <c r="C661" s="5" t="s">
        <v>35</v>
      </c>
      <c r="D661" s="5" t="s">
        <v>36</v>
      </c>
      <c r="E661" s="5" t="s">
        <v>20</v>
      </c>
      <c r="F661" s="5" t="s">
        <v>45</v>
      </c>
      <c r="G661" s="5" t="s">
        <v>56</v>
      </c>
      <c r="H661" s="5" t="s">
        <v>39</v>
      </c>
      <c r="I661" s="5">
        <v>418</v>
      </c>
      <c r="J661" s="5">
        <v>2829</v>
      </c>
      <c r="K661" s="5">
        <v>3874.42</v>
      </c>
      <c r="L661" s="5">
        <v>343</v>
      </c>
      <c r="M661" s="5">
        <v>238</v>
      </c>
      <c r="N661" s="5">
        <v>10</v>
      </c>
      <c r="O661" s="5" t="s">
        <v>24</v>
      </c>
      <c r="P661" s="5">
        <v>3467</v>
      </c>
      <c r="Q661" s="5" t="s">
        <v>25</v>
      </c>
      <c r="R661" s="2">
        <v>1619507.56</v>
      </c>
      <c r="S661" s="2">
        <v>436985.56</v>
      </c>
      <c r="T661" s="1">
        <v>45713</v>
      </c>
      <c r="U661" s="5">
        <v>2</v>
      </c>
    </row>
    <row r="662" spans="1:21" x14ac:dyDescent="0.3">
      <c r="A662" s="5" t="s">
        <v>723</v>
      </c>
      <c r="B662" s="1">
        <v>45717</v>
      </c>
      <c r="C662" s="5" t="s">
        <v>18</v>
      </c>
      <c r="D662" s="5" t="s">
        <v>62</v>
      </c>
      <c r="E662" s="5" t="s">
        <v>54</v>
      </c>
      <c r="F662" s="5" t="s">
        <v>55</v>
      </c>
      <c r="G662" s="5" t="s">
        <v>22</v>
      </c>
      <c r="H662" s="5" t="s">
        <v>51</v>
      </c>
      <c r="I662" s="5">
        <v>481</v>
      </c>
      <c r="J662" s="5">
        <v>1139</v>
      </c>
      <c r="K662" s="5">
        <v>1585.45</v>
      </c>
      <c r="L662" s="5">
        <v>768</v>
      </c>
      <c r="M662" s="5">
        <v>168</v>
      </c>
      <c r="N662" s="5">
        <v>5</v>
      </c>
      <c r="O662" s="5" t="s">
        <v>32</v>
      </c>
      <c r="P662" s="5">
        <v>2647</v>
      </c>
      <c r="Q662" s="5" t="s">
        <v>33</v>
      </c>
      <c r="R662" s="2">
        <v>762601.45</v>
      </c>
      <c r="S662" s="2">
        <v>214742.45</v>
      </c>
      <c r="T662" s="1">
        <v>45717</v>
      </c>
      <c r="U662" s="5">
        <v>3</v>
      </c>
    </row>
    <row r="663" spans="1:21" x14ac:dyDescent="0.3">
      <c r="A663" s="5" t="s">
        <v>724</v>
      </c>
      <c r="B663" s="1">
        <v>45969</v>
      </c>
      <c r="C663" s="5" t="s">
        <v>27</v>
      </c>
      <c r="D663" s="5" t="s">
        <v>28</v>
      </c>
      <c r="E663" s="5" t="s">
        <v>54</v>
      </c>
      <c r="F663" s="5" t="s">
        <v>63</v>
      </c>
      <c r="G663" s="5" t="s">
        <v>56</v>
      </c>
      <c r="H663" s="5" t="s">
        <v>51</v>
      </c>
      <c r="I663" s="5">
        <v>341</v>
      </c>
      <c r="J663" s="5">
        <v>1881</v>
      </c>
      <c r="K663" s="5">
        <v>2463.9699999999998</v>
      </c>
      <c r="L663" s="5">
        <v>348</v>
      </c>
      <c r="M663" s="5">
        <v>215</v>
      </c>
      <c r="N663" s="5">
        <v>6</v>
      </c>
      <c r="O663" s="5" t="s">
        <v>24</v>
      </c>
      <c r="P663" s="5">
        <v>2030</v>
      </c>
      <c r="Q663" s="5" t="s">
        <v>33</v>
      </c>
      <c r="R663" s="2">
        <v>840213.77</v>
      </c>
      <c r="S663" s="2">
        <v>198792.77</v>
      </c>
      <c r="T663" s="1">
        <v>45969</v>
      </c>
      <c r="U663" s="5">
        <v>11</v>
      </c>
    </row>
    <row r="664" spans="1:21" x14ac:dyDescent="0.3">
      <c r="A664" s="5" t="s">
        <v>725</v>
      </c>
      <c r="B664" s="1">
        <v>45717</v>
      </c>
      <c r="C664" s="5" t="s">
        <v>18</v>
      </c>
      <c r="D664" s="5" t="s">
        <v>53</v>
      </c>
      <c r="E664" s="5" t="s">
        <v>54</v>
      </c>
      <c r="F664" s="5" t="s">
        <v>63</v>
      </c>
      <c r="G664" s="5" t="s">
        <v>31</v>
      </c>
      <c r="H664" s="5" t="s">
        <v>39</v>
      </c>
      <c r="I664" s="5">
        <v>101</v>
      </c>
      <c r="J664" s="5">
        <v>3967</v>
      </c>
      <c r="K664" s="5">
        <v>5894.68</v>
      </c>
      <c r="L664" s="5">
        <v>969</v>
      </c>
      <c r="M664" s="5">
        <v>147</v>
      </c>
      <c r="N664" s="5">
        <v>7</v>
      </c>
      <c r="O664" s="5" t="s">
        <v>24</v>
      </c>
      <c r="P664" s="5">
        <v>6575</v>
      </c>
      <c r="Q664" s="5" t="s">
        <v>25</v>
      </c>
      <c r="R664" s="2">
        <v>595362.68000000005</v>
      </c>
      <c r="S664" s="2">
        <v>194695.67999999999</v>
      </c>
      <c r="T664" s="1">
        <v>45717</v>
      </c>
      <c r="U664" s="5">
        <v>3</v>
      </c>
    </row>
    <row r="665" spans="1:21" x14ac:dyDescent="0.3">
      <c r="A665" s="5" t="s">
        <v>726</v>
      </c>
      <c r="B665" s="1">
        <v>45706</v>
      </c>
      <c r="C665" s="5" t="s">
        <v>27</v>
      </c>
      <c r="D665" s="5" t="s">
        <v>28</v>
      </c>
      <c r="E665" s="5" t="s">
        <v>20</v>
      </c>
      <c r="F665" s="5" t="s">
        <v>100</v>
      </c>
      <c r="G665" s="5" t="s">
        <v>56</v>
      </c>
      <c r="H665" s="5" t="s">
        <v>39</v>
      </c>
      <c r="I665" s="5">
        <v>51</v>
      </c>
      <c r="J665" s="5">
        <v>2232</v>
      </c>
      <c r="K665" s="5">
        <v>2974.13</v>
      </c>
      <c r="L665" s="5">
        <v>1009</v>
      </c>
      <c r="M665" s="5">
        <v>116</v>
      </c>
      <c r="N665" s="5">
        <v>2</v>
      </c>
      <c r="O665" s="5" t="s">
        <v>24</v>
      </c>
      <c r="P665" s="5">
        <v>1446</v>
      </c>
      <c r="Q665" s="5" t="s">
        <v>25</v>
      </c>
      <c r="R665" s="2">
        <v>151680.63</v>
      </c>
      <c r="S665" s="2">
        <v>37848.629999999997</v>
      </c>
      <c r="T665" s="1">
        <v>45706</v>
      </c>
      <c r="U665" s="5">
        <v>2</v>
      </c>
    </row>
    <row r="666" spans="1:21" x14ac:dyDescent="0.3">
      <c r="A666" s="5" t="s">
        <v>727</v>
      </c>
      <c r="B666" s="1">
        <v>45934</v>
      </c>
      <c r="C666" s="5" t="s">
        <v>27</v>
      </c>
      <c r="D666" s="5" t="s">
        <v>36</v>
      </c>
      <c r="E666" s="5" t="s">
        <v>49</v>
      </c>
      <c r="F666" s="5" t="s">
        <v>50</v>
      </c>
      <c r="G666" s="5" t="s">
        <v>56</v>
      </c>
      <c r="H666" s="5" t="s">
        <v>23</v>
      </c>
      <c r="I666" s="5">
        <v>59</v>
      </c>
      <c r="J666" s="5">
        <v>4770</v>
      </c>
      <c r="K666" s="5">
        <v>7143.44</v>
      </c>
      <c r="L666" s="5">
        <v>294</v>
      </c>
      <c r="M666" s="5">
        <v>221</v>
      </c>
      <c r="N666" s="5">
        <v>9</v>
      </c>
      <c r="O666" s="5" t="s">
        <v>24</v>
      </c>
      <c r="P666" s="5">
        <v>4258</v>
      </c>
      <c r="Q666" s="5" t="s">
        <v>33</v>
      </c>
      <c r="R666" s="2">
        <v>421462.96</v>
      </c>
      <c r="S666" s="2">
        <v>140032.95999999999</v>
      </c>
      <c r="T666" s="1">
        <v>45934</v>
      </c>
      <c r="U666" s="5">
        <v>10</v>
      </c>
    </row>
    <row r="667" spans="1:21" x14ac:dyDescent="0.3">
      <c r="A667" s="5" t="s">
        <v>728</v>
      </c>
      <c r="B667" s="1">
        <v>45894</v>
      </c>
      <c r="C667" s="5" t="s">
        <v>35</v>
      </c>
      <c r="D667" s="5" t="s">
        <v>62</v>
      </c>
      <c r="E667" s="5" t="s">
        <v>54</v>
      </c>
      <c r="F667" s="5" t="s">
        <v>87</v>
      </c>
      <c r="G667" s="5" t="s">
        <v>22</v>
      </c>
      <c r="H667" s="5" t="s">
        <v>39</v>
      </c>
      <c r="I667" s="5">
        <v>380</v>
      </c>
      <c r="J667" s="5">
        <v>1698</v>
      </c>
      <c r="K667" s="5">
        <v>2539.19</v>
      </c>
      <c r="L667" s="5">
        <v>789</v>
      </c>
      <c r="M667" s="5">
        <v>283</v>
      </c>
      <c r="N667" s="5">
        <v>9</v>
      </c>
      <c r="O667" s="5" t="s">
        <v>24</v>
      </c>
      <c r="P667" s="5">
        <v>933</v>
      </c>
      <c r="Q667" s="5" t="s">
        <v>25</v>
      </c>
      <c r="R667" s="2">
        <v>964892.2</v>
      </c>
      <c r="S667" s="2">
        <v>319652.2</v>
      </c>
      <c r="T667" s="1">
        <v>45894</v>
      </c>
      <c r="U667" s="5">
        <v>8</v>
      </c>
    </row>
    <row r="668" spans="1:21" x14ac:dyDescent="0.3">
      <c r="A668" s="5" t="s">
        <v>729</v>
      </c>
      <c r="B668" s="1">
        <v>45852</v>
      </c>
      <c r="C668" s="5" t="s">
        <v>27</v>
      </c>
      <c r="D668" s="5" t="s">
        <v>53</v>
      </c>
      <c r="E668" s="5" t="s">
        <v>20</v>
      </c>
      <c r="F668" s="5" t="s">
        <v>37</v>
      </c>
      <c r="G668" s="5" t="s">
        <v>31</v>
      </c>
      <c r="H668" s="5" t="s">
        <v>23</v>
      </c>
      <c r="I668" s="5">
        <v>95</v>
      </c>
      <c r="J668" s="5">
        <v>2854</v>
      </c>
      <c r="K668" s="5">
        <v>3837.52</v>
      </c>
      <c r="L668" s="5">
        <v>485</v>
      </c>
      <c r="M668" s="5">
        <v>165</v>
      </c>
      <c r="N668" s="5">
        <v>1</v>
      </c>
      <c r="O668" s="5" t="s">
        <v>32</v>
      </c>
      <c r="P668" s="5">
        <v>4813</v>
      </c>
      <c r="Q668" s="5" t="s">
        <v>33</v>
      </c>
      <c r="R668" s="2">
        <v>364564.4</v>
      </c>
      <c r="S668" s="2">
        <v>93434.4</v>
      </c>
      <c r="T668" s="1">
        <v>45852</v>
      </c>
      <c r="U668" s="5">
        <v>7</v>
      </c>
    </row>
    <row r="669" spans="1:21" x14ac:dyDescent="0.3">
      <c r="A669" s="5" t="s">
        <v>730</v>
      </c>
      <c r="B669" s="1">
        <v>45729</v>
      </c>
      <c r="C669" s="5" t="s">
        <v>35</v>
      </c>
      <c r="D669" s="5" t="s">
        <v>53</v>
      </c>
      <c r="E669" s="5" t="s">
        <v>29</v>
      </c>
      <c r="F669" s="5" t="s">
        <v>58</v>
      </c>
      <c r="G669" s="5" t="s">
        <v>22</v>
      </c>
      <c r="H669" s="5" t="s">
        <v>51</v>
      </c>
      <c r="I669" s="5">
        <v>305</v>
      </c>
      <c r="J669" s="5">
        <v>1667</v>
      </c>
      <c r="K669" s="5">
        <v>2339.0500000000002</v>
      </c>
      <c r="L669" s="5">
        <v>1619</v>
      </c>
      <c r="M669" s="5">
        <v>225</v>
      </c>
      <c r="N669" s="5">
        <v>8</v>
      </c>
      <c r="O669" s="5" t="s">
        <v>24</v>
      </c>
      <c r="P669" s="5">
        <v>2046</v>
      </c>
      <c r="Q669" s="5" t="s">
        <v>33</v>
      </c>
      <c r="R669" s="2">
        <v>713410.25</v>
      </c>
      <c r="S669" s="2">
        <v>204975.25</v>
      </c>
      <c r="T669" s="1">
        <v>45729</v>
      </c>
      <c r="U669" s="5">
        <v>3</v>
      </c>
    </row>
    <row r="670" spans="1:21" x14ac:dyDescent="0.3">
      <c r="A670" s="5" t="s">
        <v>731</v>
      </c>
      <c r="B670" s="1">
        <v>45669</v>
      </c>
      <c r="C670" s="5" t="s">
        <v>35</v>
      </c>
      <c r="D670" s="5" t="s">
        <v>62</v>
      </c>
      <c r="E670" s="5" t="s">
        <v>54</v>
      </c>
      <c r="F670" s="5" t="s">
        <v>78</v>
      </c>
      <c r="G670" s="5" t="s">
        <v>22</v>
      </c>
      <c r="H670" s="5" t="s">
        <v>39</v>
      </c>
      <c r="I670" s="5">
        <v>249</v>
      </c>
      <c r="J670" s="5">
        <v>4838</v>
      </c>
      <c r="K670" s="5">
        <v>6948.29</v>
      </c>
      <c r="L670" s="5">
        <v>1664</v>
      </c>
      <c r="M670" s="5">
        <v>173</v>
      </c>
      <c r="N670" s="5">
        <v>5</v>
      </c>
      <c r="O670" s="5" t="s">
        <v>32</v>
      </c>
      <c r="P670" s="5">
        <v>2387</v>
      </c>
      <c r="Q670" s="5" t="s">
        <v>33</v>
      </c>
      <c r="R670" s="2">
        <v>1730124.21</v>
      </c>
      <c r="S670" s="2">
        <v>525462.21</v>
      </c>
      <c r="T670" s="1">
        <v>45669</v>
      </c>
      <c r="U670" s="5">
        <v>1</v>
      </c>
    </row>
    <row r="671" spans="1:21" x14ac:dyDescent="0.3">
      <c r="A671" s="5" t="s">
        <v>732</v>
      </c>
      <c r="B671" s="1">
        <v>46008</v>
      </c>
      <c r="C671" s="5" t="s">
        <v>42</v>
      </c>
      <c r="D671" s="5" t="s">
        <v>53</v>
      </c>
      <c r="E671" s="5" t="s">
        <v>49</v>
      </c>
      <c r="F671" s="5" t="s">
        <v>75</v>
      </c>
      <c r="G671" s="5" t="s">
        <v>22</v>
      </c>
      <c r="H671" s="5" t="s">
        <v>23</v>
      </c>
      <c r="I671" s="5">
        <v>94</v>
      </c>
      <c r="J671" s="5">
        <v>3037</v>
      </c>
      <c r="K671" s="5">
        <v>3493.25</v>
      </c>
      <c r="L671" s="5">
        <v>1181</v>
      </c>
      <c r="M671" s="5">
        <v>147</v>
      </c>
      <c r="N671" s="5">
        <v>3</v>
      </c>
      <c r="O671" s="5" t="s">
        <v>32</v>
      </c>
      <c r="P671" s="5">
        <v>4701</v>
      </c>
      <c r="Q671" s="5" t="s">
        <v>33</v>
      </c>
      <c r="R671" s="2">
        <v>328365.5</v>
      </c>
      <c r="S671" s="2">
        <v>42887.5</v>
      </c>
      <c r="T671" s="1">
        <v>46008</v>
      </c>
      <c r="U671" s="5">
        <v>12</v>
      </c>
    </row>
    <row r="672" spans="1:21" x14ac:dyDescent="0.3">
      <c r="A672" s="5" t="s">
        <v>733</v>
      </c>
      <c r="B672" s="1">
        <v>45984</v>
      </c>
      <c r="C672" s="5" t="s">
        <v>18</v>
      </c>
      <c r="D672" s="5" t="s">
        <v>53</v>
      </c>
      <c r="E672" s="5" t="s">
        <v>54</v>
      </c>
      <c r="F672" s="5" t="s">
        <v>63</v>
      </c>
      <c r="G672" s="5" t="s">
        <v>22</v>
      </c>
      <c r="H672" s="5" t="s">
        <v>51</v>
      </c>
      <c r="I672" s="5">
        <v>302</v>
      </c>
      <c r="J672" s="5">
        <v>471</v>
      </c>
      <c r="K672" s="5">
        <v>548.79</v>
      </c>
      <c r="L672" s="5">
        <v>1286</v>
      </c>
      <c r="M672" s="5">
        <v>291</v>
      </c>
      <c r="N672" s="5">
        <v>4</v>
      </c>
      <c r="O672" s="5" t="s">
        <v>32</v>
      </c>
      <c r="P672" s="5">
        <v>7117</v>
      </c>
      <c r="Q672" s="5" t="s">
        <v>33</v>
      </c>
      <c r="R672" s="2">
        <v>165734.57999999999</v>
      </c>
      <c r="S672" s="2">
        <v>23492.58</v>
      </c>
      <c r="T672" s="1">
        <v>45984</v>
      </c>
      <c r="U672" s="5">
        <v>11</v>
      </c>
    </row>
    <row r="673" spans="1:21" x14ac:dyDescent="0.3">
      <c r="A673" s="5" t="s">
        <v>734</v>
      </c>
      <c r="B673" s="1">
        <v>45831</v>
      </c>
      <c r="C673" s="5" t="s">
        <v>27</v>
      </c>
      <c r="D673" s="5" t="s">
        <v>19</v>
      </c>
      <c r="E673" s="5" t="s">
        <v>29</v>
      </c>
      <c r="F673" s="5" t="s">
        <v>30</v>
      </c>
      <c r="G673" s="5" t="s">
        <v>56</v>
      </c>
      <c r="H673" s="5" t="s">
        <v>23</v>
      </c>
      <c r="I673" s="5">
        <v>392</v>
      </c>
      <c r="J673" s="5">
        <v>3793</v>
      </c>
      <c r="K673" s="5">
        <v>5232.8900000000003</v>
      </c>
      <c r="L673" s="5">
        <v>929</v>
      </c>
      <c r="M673" s="5">
        <v>116</v>
      </c>
      <c r="N673" s="5">
        <v>9</v>
      </c>
      <c r="O673" s="5" t="s">
        <v>24</v>
      </c>
      <c r="P673" s="5">
        <v>2118</v>
      </c>
      <c r="Q673" s="5" t="s">
        <v>25</v>
      </c>
      <c r="R673" s="2">
        <v>2051292.88</v>
      </c>
      <c r="S673" s="2">
        <v>564436.88</v>
      </c>
      <c r="T673" s="1">
        <v>45831</v>
      </c>
      <c r="U673" s="5">
        <v>6</v>
      </c>
    </row>
    <row r="674" spans="1:21" x14ac:dyDescent="0.3">
      <c r="A674" s="5" t="s">
        <v>735</v>
      </c>
      <c r="B674" s="1">
        <v>45845</v>
      </c>
      <c r="C674" s="5" t="s">
        <v>27</v>
      </c>
      <c r="D674" s="5" t="s">
        <v>62</v>
      </c>
      <c r="E674" s="5" t="s">
        <v>49</v>
      </c>
      <c r="F674" s="5" t="s">
        <v>94</v>
      </c>
      <c r="G674" s="5" t="s">
        <v>31</v>
      </c>
      <c r="H674" s="5" t="s">
        <v>23</v>
      </c>
      <c r="I674" s="5">
        <v>58</v>
      </c>
      <c r="J674" s="5">
        <v>2945</v>
      </c>
      <c r="K674" s="5">
        <v>4030.01</v>
      </c>
      <c r="L674" s="5">
        <v>1119</v>
      </c>
      <c r="M674" s="5">
        <v>170</v>
      </c>
      <c r="N674" s="5">
        <v>3</v>
      </c>
      <c r="O674" s="5" t="s">
        <v>32</v>
      </c>
      <c r="P674" s="5">
        <v>2457</v>
      </c>
      <c r="Q674" s="5" t="s">
        <v>33</v>
      </c>
      <c r="R674" s="2">
        <v>233740.58</v>
      </c>
      <c r="S674" s="2">
        <v>62930.58</v>
      </c>
      <c r="T674" s="1">
        <v>45845</v>
      </c>
      <c r="U674" s="5">
        <v>7</v>
      </c>
    </row>
    <row r="675" spans="1:21" x14ac:dyDescent="0.3">
      <c r="A675" s="5" t="s">
        <v>736</v>
      </c>
      <c r="B675" s="1">
        <v>45863</v>
      </c>
      <c r="C675" s="5" t="s">
        <v>18</v>
      </c>
      <c r="D675" s="5" t="s">
        <v>19</v>
      </c>
      <c r="E675" s="5" t="s">
        <v>49</v>
      </c>
      <c r="F675" s="5" t="s">
        <v>94</v>
      </c>
      <c r="G675" s="5" t="s">
        <v>31</v>
      </c>
      <c r="H675" s="5" t="s">
        <v>51</v>
      </c>
      <c r="I675" s="5">
        <v>17</v>
      </c>
      <c r="J675" s="5">
        <v>2086</v>
      </c>
      <c r="K675" s="5">
        <v>2519.81</v>
      </c>
      <c r="L675" s="5">
        <v>841</v>
      </c>
      <c r="M675" s="5">
        <v>125</v>
      </c>
      <c r="N675" s="5">
        <v>1</v>
      </c>
      <c r="O675" s="5" t="s">
        <v>32</v>
      </c>
      <c r="P675" s="5">
        <v>4718</v>
      </c>
      <c r="Q675" s="5" t="s">
        <v>33</v>
      </c>
      <c r="R675" s="2">
        <v>42836.77</v>
      </c>
      <c r="S675" s="2">
        <v>7374.77</v>
      </c>
      <c r="T675" s="1">
        <v>45863</v>
      </c>
      <c r="U675" s="5">
        <v>7</v>
      </c>
    </row>
    <row r="676" spans="1:21" x14ac:dyDescent="0.3">
      <c r="A676" s="5" t="s">
        <v>737</v>
      </c>
      <c r="B676" s="1">
        <v>45805</v>
      </c>
      <c r="C676" s="5" t="s">
        <v>42</v>
      </c>
      <c r="D676" s="5" t="s">
        <v>62</v>
      </c>
      <c r="E676" s="5" t="s">
        <v>20</v>
      </c>
      <c r="F676" s="5" t="s">
        <v>100</v>
      </c>
      <c r="G676" s="5" t="s">
        <v>31</v>
      </c>
      <c r="H676" s="5" t="s">
        <v>51</v>
      </c>
      <c r="I676" s="5">
        <v>45</v>
      </c>
      <c r="J676" s="5">
        <v>348</v>
      </c>
      <c r="K676" s="5">
        <v>475.15</v>
      </c>
      <c r="L676" s="5">
        <v>1360</v>
      </c>
      <c r="M676" s="5">
        <v>220</v>
      </c>
      <c r="N676" s="5">
        <v>4</v>
      </c>
      <c r="O676" s="5" t="s">
        <v>32</v>
      </c>
      <c r="P676" s="5">
        <v>3288</v>
      </c>
      <c r="Q676" s="5" t="s">
        <v>33</v>
      </c>
      <c r="R676" s="2">
        <v>21381.75</v>
      </c>
      <c r="S676" s="2">
        <v>5721.75</v>
      </c>
      <c r="T676" s="1">
        <v>45805</v>
      </c>
      <c r="U676" s="5">
        <v>5</v>
      </c>
    </row>
    <row r="677" spans="1:21" x14ac:dyDescent="0.3">
      <c r="A677" s="5" t="s">
        <v>738</v>
      </c>
      <c r="B677" s="1">
        <v>45739</v>
      </c>
      <c r="C677" s="5" t="s">
        <v>35</v>
      </c>
      <c r="D677" s="5" t="s">
        <v>28</v>
      </c>
      <c r="E677" s="5" t="s">
        <v>29</v>
      </c>
      <c r="F677" s="5" t="s">
        <v>58</v>
      </c>
      <c r="G677" s="5" t="s">
        <v>22</v>
      </c>
      <c r="H677" s="5" t="s">
        <v>23</v>
      </c>
      <c r="I677" s="5">
        <v>334</v>
      </c>
      <c r="J677" s="5">
        <v>1893</v>
      </c>
      <c r="K677" s="5">
        <v>2751.89</v>
      </c>
      <c r="L677" s="5">
        <v>349</v>
      </c>
      <c r="M677" s="5">
        <v>249</v>
      </c>
      <c r="N677" s="5">
        <v>5</v>
      </c>
      <c r="O677" s="5" t="s">
        <v>32</v>
      </c>
      <c r="P677" s="5">
        <v>4623</v>
      </c>
      <c r="Q677" s="5" t="s">
        <v>33</v>
      </c>
      <c r="R677" s="2">
        <v>919131.26</v>
      </c>
      <c r="S677" s="2">
        <v>286869.26</v>
      </c>
      <c r="T677" s="1">
        <v>45739</v>
      </c>
      <c r="U677" s="5">
        <v>3</v>
      </c>
    </row>
    <row r="678" spans="1:21" x14ac:dyDescent="0.3">
      <c r="A678" s="5" t="s">
        <v>739</v>
      </c>
      <c r="B678" s="1">
        <v>45862</v>
      </c>
      <c r="C678" s="5" t="s">
        <v>18</v>
      </c>
      <c r="D678" s="5" t="s">
        <v>62</v>
      </c>
      <c r="E678" s="5" t="s">
        <v>20</v>
      </c>
      <c r="F678" s="5" t="s">
        <v>21</v>
      </c>
      <c r="G678" s="5" t="s">
        <v>31</v>
      </c>
      <c r="H678" s="5" t="s">
        <v>39</v>
      </c>
      <c r="I678" s="5">
        <v>268</v>
      </c>
      <c r="J678" s="5">
        <v>1015</v>
      </c>
      <c r="K678" s="5">
        <v>1167.76</v>
      </c>
      <c r="L678" s="5">
        <v>1181</v>
      </c>
      <c r="M678" s="5">
        <v>142</v>
      </c>
      <c r="N678" s="5">
        <v>2</v>
      </c>
      <c r="O678" s="5" t="s">
        <v>32</v>
      </c>
      <c r="P678" s="5">
        <v>6950</v>
      </c>
      <c r="Q678" s="5" t="s">
        <v>33</v>
      </c>
      <c r="R678" s="2">
        <v>312959.68</v>
      </c>
      <c r="S678" s="2">
        <v>40939.68</v>
      </c>
      <c r="T678" s="1">
        <v>45862</v>
      </c>
      <c r="U678" s="5">
        <v>7</v>
      </c>
    </row>
    <row r="679" spans="1:21" x14ac:dyDescent="0.3">
      <c r="A679" s="5" t="s">
        <v>740</v>
      </c>
      <c r="B679" s="1">
        <v>45894</v>
      </c>
      <c r="C679" s="5" t="s">
        <v>35</v>
      </c>
      <c r="D679" s="5" t="s">
        <v>19</v>
      </c>
      <c r="E679" s="5" t="s">
        <v>20</v>
      </c>
      <c r="F679" s="5" t="s">
        <v>45</v>
      </c>
      <c r="G679" s="5" t="s">
        <v>38</v>
      </c>
      <c r="H679" s="5" t="s">
        <v>39</v>
      </c>
      <c r="I679" s="5">
        <v>236</v>
      </c>
      <c r="J679" s="5">
        <v>548</v>
      </c>
      <c r="K679" s="5">
        <v>816.51</v>
      </c>
      <c r="L679" s="5">
        <v>1416</v>
      </c>
      <c r="M679" s="5">
        <v>173</v>
      </c>
      <c r="N679" s="5">
        <v>1</v>
      </c>
      <c r="O679" s="5" t="s">
        <v>32</v>
      </c>
      <c r="P679" s="5">
        <v>2697</v>
      </c>
      <c r="Q679" s="5" t="s">
        <v>25</v>
      </c>
      <c r="R679" s="2">
        <v>192696.36</v>
      </c>
      <c r="S679" s="2">
        <v>63368.36</v>
      </c>
      <c r="T679" s="1">
        <v>45894</v>
      </c>
      <c r="U679" s="5">
        <v>8</v>
      </c>
    </row>
    <row r="680" spans="1:21" x14ac:dyDescent="0.3">
      <c r="A680" s="5" t="s">
        <v>741</v>
      </c>
      <c r="B680" s="1">
        <v>45805</v>
      </c>
      <c r="C680" s="5" t="s">
        <v>35</v>
      </c>
      <c r="D680" s="5" t="s">
        <v>19</v>
      </c>
      <c r="E680" s="5" t="s">
        <v>54</v>
      </c>
      <c r="F680" s="5" t="s">
        <v>87</v>
      </c>
      <c r="G680" s="5" t="s">
        <v>22</v>
      </c>
      <c r="H680" s="5" t="s">
        <v>51</v>
      </c>
      <c r="I680" s="5">
        <v>250</v>
      </c>
      <c r="J680" s="5">
        <v>2908</v>
      </c>
      <c r="K680" s="5">
        <v>4131.32</v>
      </c>
      <c r="L680" s="5">
        <v>1822</v>
      </c>
      <c r="M680" s="5">
        <v>85</v>
      </c>
      <c r="N680" s="5">
        <v>1</v>
      </c>
      <c r="O680" s="5" t="s">
        <v>32</v>
      </c>
      <c r="P680" s="5">
        <v>695</v>
      </c>
      <c r="Q680" s="5" t="s">
        <v>33</v>
      </c>
      <c r="R680" s="2">
        <v>1032830</v>
      </c>
      <c r="S680" s="2">
        <v>305830</v>
      </c>
      <c r="T680" s="1">
        <v>45805</v>
      </c>
      <c r="U680" s="5">
        <v>5</v>
      </c>
    </row>
    <row r="681" spans="1:21" x14ac:dyDescent="0.3">
      <c r="A681" s="5" t="s">
        <v>742</v>
      </c>
      <c r="B681" s="1">
        <v>45661</v>
      </c>
      <c r="C681" s="5" t="s">
        <v>27</v>
      </c>
      <c r="D681" s="5" t="s">
        <v>28</v>
      </c>
      <c r="E681" s="5" t="s">
        <v>29</v>
      </c>
      <c r="F681" s="5" t="s">
        <v>43</v>
      </c>
      <c r="G681" s="5" t="s">
        <v>38</v>
      </c>
      <c r="H681" s="5" t="s">
        <v>39</v>
      </c>
      <c r="I681" s="5">
        <v>41</v>
      </c>
      <c r="J681" s="5">
        <v>3949</v>
      </c>
      <c r="K681" s="5">
        <v>5748.38</v>
      </c>
      <c r="L681" s="5">
        <v>1700</v>
      </c>
      <c r="M681" s="5">
        <v>271</v>
      </c>
      <c r="N681" s="5">
        <v>5</v>
      </c>
      <c r="O681" s="5" t="s">
        <v>32</v>
      </c>
      <c r="P681" s="5">
        <v>4653</v>
      </c>
      <c r="Q681" s="5" t="s">
        <v>33</v>
      </c>
      <c r="R681" s="2">
        <v>235683.58</v>
      </c>
      <c r="S681" s="2">
        <v>73774.58</v>
      </c>
      <c r="T681" s="1">
        <v>45661</v>
      </c>
      <c r="U681" s="5">
        <v>1</v>
      </c>
    </row>
    <row r="682" spans="1:21" x14ac:dyDescent="0.3">
      <c r="A682" s="5" t="s">
        <v>743</v>
      </c>
      <c r="B682" s="1">
        <v>45959</v>
      </c>
      <c r="C682" s="5" t="s">
        <v>42</v>
      </c>
      <c r="D682" s="5" t="s">
        <v>19</v>
      </c>
      <c r="E682" s="5" t="s">
        <v>49</v>
      </c>
      <c r="F682" s="5" t="s">
        <v>75</v>
      </c>
      <c r="G682" s="5" t="s">
        <v>56</v>
      </c>
      <c r="H682" s="5" t="s">
        <v>39</v>
      </c>
      <c r="I682" s="5">
        <v>232</v>
      </c>
      <c r="J682" s="5">
        <v>673</v>
      </c>
      <c r="K682" s="5">
        <v>863.78</v>
      </c>
      <c r="L682" s="5">
        <v>739</v>
      </c>
      <c r="M682" s="5">
        <v>278</v>
      </c>
      <c r="N682" s="5">
        <v>3</v>
      </c>
      <c r="O682" s="5" t="s">
        <v>32</v>
      </c>
      <c r="P682" s="5">
        <v>5628</v>
      </c>
      <c r="Q682" s="5" t="s">
        <v>25</v>
      </c>
      <c r="R682" s="2">
        <v>200396.96</v>
      </c>
      <c r="S682" s="2">
        <v>44260.959999999999</v>
      </c>
      <c r="T682" s="1">
        <v>45959</v>
      </c>
      <c r="U682" s="5">
        <v>10</v>
      </c>
    </row>
    <row r="683" spans="1:21" x14ac:dyDescent="0.3">
      <c r="A683" s="5" t="s">
        <v>744</v>
      </c>
      <c r="B683" s="1">
        <v>45930</v>
      </c>
      <c r="C683" s="5" t="s">
        <v>42</v>
      </c>
      <c r="D683" s="5" t="s">
        <v>62</v>
      </c>
      <c r="E683" s="5" t="s">
        <v>20</v>
      </c>
      <c r="F683" s="5" t="s">
        <v>21</v>
      </c>
      <c r="G683" s="5" t="s">
        <v>22</v>
      </c>
      <c r="H683" s="5" t="s">
        <v>39</v>
      </c>
      <c r="I683" s="5">
        <v>200</v>
      </c>
      <c r="J683" s="5">
        <v>3363</v>
      </c>
      <c r="K683" s="5">
        <v>3988.77</v>
      </c>
      <c r="L683" s="5">
        <v>337</v>
      </c>
      <c r="M683" s="5">
        <v>107</v>
      </c>
      <c r="N683" s="5">
        <v>1</v>
      </c>
      <c r="O683" s="5" t="s">
        <v>32</v>
      </c>
      <c r="P683" s="5">
        <v>7738</v>
      </c>
      <c r="Q683" s="5" t="s">
        <v>33</v>
      </c>
      <c r="R683" s="2">
        <v>797754</v>
      </c>
      <c r="S683" s="2">
        <v>125154</v>
      </c>
      <c r="T683" s="1">
        <v>45930</v>
      </c>
      <c r="U683" s="5">
        <v>9</v>
      </c>
    </row>
    <row r="684" spans="1:21" x14ac:dyDescent="0.3">
      <c r="A684" s="5" t="s">
        <v>745</v>
      </c>
      <c r="B684" s="1">
        <v>45780</v>
      </c>
      <c r="C684" s="5" t="s">
        <v>42</v>
      </c>
      <c r="D684" s="5" t="s">
        <v>36</v>
      </c>
      <c r="E684" s="5" t="s">
        <v>29</v>
      </c>
      <c r="F684" s="5" t="s">
        <v>58</v>
      </c>
      <c r="G684" s="5" t="s">
        <v>38</v>
      </c>
      <c r="H684" s="5" t="s">
        <v>23</v>
      </c>
      <c r="I684" s="5">
        <v>56</v>
      </c>
      <c r="J684" s="5">
        <v>283</v>
      </c>
      <c r="K684" s="5">
        <v>330.23</v>
      </c>
      <c r="L684" s="5">
        <v>1532</v>
      </c>
      <c r="M684" s="5">
        <v>254</v>
      </c>
      <c r="N684" s="5">
        <v>6</v>
      </c>
      <c r="O684" s="5" t="s">
        <v>24</v>
      </c>
      <c r="P684" s="5">
        <v>6786</v>
      </c>
      <c r="Q684" s="5" t="s">
        <v>46</v>
      </c>
      <c r="R684" s="2">
        <v>18492.88</v>
      </c>
      <c r="S684" s="2">
        <v>2644.88</v>
      </c>
      <c r="T684" s="1">
        <v>45780</v>
      </c>
      <c r="U684" s="5">
        <v>5</v>
      </c>
    </row>
    <row r="685" spans="1:21" x14ac:dyDescent="0.3">
      <c r="A685" s="5" t="s">
        <v>746</v>
      </c>
      <c r="B685" s="1">
        <v>45769</v>
      </c>
      <c r="C685" s="5" t="s">
        <v>35</v>
      </c>
      <c r="D685" s="5" t="s">
        <v>62</v>
      </c>
      <c r="E685" s="5" t="s">
        <v>20</v>
      </c>
      <c r="F685" s="5" t="s">
        <v>45</v>
      </c>
      <c r="G685" s="5" t="s">
        <v>56</v>
      </c>
      <c r="H685" s="5" t="s">
        <v>23</v>
      </c>
      <c r="I685" s="5">
        <v>269</v>
      </c>
      <c r="J685" s="5">
        <v>3681</v>
      </c>
      <c r="K685" s="5">
        <v>5451.3</v>
      </c>
      <c r="L685" s="5">
        <v>1383</v>
      </c>
      <c r="M685" s="5">
        <v>130</v>
      </c>
      <c r="N685" s="5">
        <v>5</v>
      </c>
      <c r="O685" s="5" t="s">
        <v>32</v>
      </c>
      <c r="P685" s="5">
        <v>4432</v>
      </c>
      <c r="Q685" s="5" t="s">
        <v>33</v>
      </c>
      <c r="R685" s="2">
        <v>1466399.7</v>
      </c>
      <c r="S685" s="2">
        <v>476210.7</v>
      </c>
      <c r="T685" s="1">
        <v>45769</v>
      </c>
      <c r="U685" s="5">
        <v>4</v>
      </c>
    </row>
    <row r="686" spans="1:21" x14ac:dyDescent="0.3">
      <c r="A686" s="5" t="s">
        <v>747</v>
      </c>
      <c r="B686" s="1">
        <v>45787</v>
      </c>
      <c r="C686" s="5" t="s">
        <v>42</v>
      </c>
      <c r="D686" s="5" t="s">
        <v>53</v>
      </c>
      <c r="E686" s="5" t="s">
        <v>20</v>
      </c>
      <c r="F686" s="5" t="s">
        <v>45</v>
      </c>
      <c r="G686" s="5" t="s">
        <v>56</v>
      </c>
      <c r="H686" s="5" t="s">
        <v>23</v>
      </c>
      <c r="I686" s="5">
        <v>214</v>
      </c>
      <c r="J686" s="5">
        <v>1973</v>
      </c>
      <c r="K686" s="5">
        <v>2552.8200000000002</v>
      </c>
      <c r="L686" s="5">
        <v>1987</v>
      </c>
      <c r="M686" s="5">
        <v>116</v>
      </c>
      <c r="N686" s="5">
        <v>5</v>
      </c>
      <c r="O686" s="5" t="s">
        <v>32</v>
      </c>
      <c r="P686" s="5">
        <v>7789</v>
      </c>
      <c r="Q686" s="5" t="s">
        <v>33</v>
      </c>
      <c r="R686" s="2">
        <v>546303.48</v>
      </c>
      <c r="S686" s="2">
        <v>124081.48</v>
      </c>
      <c r="T686" s="1">
        <v>45787</v>
      </c>
      <c r="U686" s="5">
        <v>5</v>
      </c>
    </row>
    <row r="687" spans="1:21" x14ac:dyDescent="0.3">
      <c r="A687" s="5" t="s">
        <v>748</v>
      </c>
      <c r="B687" s="1">
        <v>45690</v>
      </c>
      <c r="C687" s="5" t="s">
        <v>18</v>
      </c>
      <c r="D687" s="5" t="s">
        <v>36</v>
      </c>
      <c r="E687" s="5" t="s">
        <v>20</v>
      </c>
      <c r="F687" s="5" t="s">
        <v>21</v>
      </c>
      <c r="G687" s="5" t="s">
        <v>31</v>
      </c>
      <c r="H687" s="5" t="s">
        <v>51</v>
      </c>
      <c r="I687" s="5">
        <v>54</v>
      </c>
      <c r="J687" s="5">
        <v>4213</v>
      </c>
      <c r="K687" s="5">
        <v>5027.1099999999997</v>
      </c>
      <c r="L687" s="5">
        <v>1933</v>
      </c>
      <c r="M687" s="5">
        <v>142</v>
      </c>
      <c r="N687" s="5">
        <v>4</v>
      </c>
      <c r="O687" s="5" t="s">
        <v>32</v>
      </c>
      <c r="P687" s="5">
        <v>6253</v>
      </c>
      <c r="Q687" s="5" t="s">
        <v>33</v>
      </c>
      <c r="R687" s="2">
        <v>271463.94</v>
      </c>
      <c r="S687" s="2">
        <v>43961.94</v>
      </c>
      <c r="T687" s="1">
        <v>45690</v>
      </c>
      <c r="U687" s="5">
        <v>2</v>
      </c>
    </row>
    <row r="688" spans="1:21" x14ac:dyDescent="0.3">
      <c r="A688" s="5" t="s">
        <v>749</v>
      </c>
      <c r="B688" s="1">
        <v>45923</v>
      </c>
      <c r="C688" s="5" t="s">
        <v>35</v>
      </c>
      <c r="D688" s="5" t="s">
        <v>62</v>
      </c>
      <c r="E688" s="5" t="s">
        <v>20</v>
      </c>
      <c r="F688" s="5" t="s">
        <v>100</v>
      </c>
      <c r="G688" s="5" t="s">
        <v>22</v>
      </c>
      <c r="H688" s="5" t="s">
        <v>51</v>
      </c>
      <c r="I688" s="5">
        <v>178</v>
      </c>
      <c r="J688" s="5">
        <v>1658</v>
      </c>
      <c r="K688" s="5">
        <v>2044.59</v>
      </c>
      <c r="L688" s="5">
        <v>1873</v>
      </c>
      <c r="M688" s="5">
        <v>143</v>
      </c>
      <c r="N688" s="5">
        <v>4</v>
      </c>
      <c r="O688" s="5" t="s">
        <v>24</v>
      </c>
      <c r="P688" s="5">
        <v>4700</v>
      </c>
      <c r="Q688" s="5" t="s">
        <v>40</v>
      </c>
      <c r="R688" s="2">
        <v>363937.02</v>
      </c>
      <c r="S688" s="2">
        <v>68813.02</v>
      </c>
      <c r="T688" s="1">
        <v>45923</v>
      </c>
      <c r="U688" s="5">
        <v>9</v>
      </c>
    </row>
    <row r="689" spans="1:21" x14ac:dyDescent="0.3">
      <c r="A689" s="5" t="s">
        <v>750</v>
      </c>
      <c r="B689" s="1">
        <v>45940</v>
      </c>
      <c r="C689" s="5" t="s">
        <v>35</v>
      </c>
      <c r="D689" s="5" t="s">
        <v>19</v>
      </c>
      <c r="E689" s="5" t="s">
        <v>49</v>
      </c>
      <c r="F689" s="5" t="s">
        <v>94</v>
      </c>
      <c r="G689" s="5" t="s">
        <v>38</v>
      </c>
      <c r="H689" s="5" t="s">
        <v>23</v>
      </c>
      <c r="I689" s="5">
        <v>489</v>
      </c>
      <c r="J689" s="5">
        <v>3031</v>
      </c>
      <c r="K689" s="5">
        <v>4090.2</v>
      </c>
      <c r="L689" s="5">
        <v>1382</v>
      </c>
      <c r="M689" s="5">
        <v>226</v>
      </c>
      <c r="N689" s="5">
        <v>5</v>
      </c>
      <c r="O689" s="5" t="s">
        <v>32</v>
      </c>
      <c r="P689" s="5">
        <v>6454</v>
      </c>
      <c r="Q689" s="5" t="s">
        <v>33</v>
      </c>
      <c r="R689" s="2">
        <v>2000107.8</v>
      </c>
      <c r="S689" s="2">
        <v>517948.8</v>
      </c>
      <c r="T689" s="1">
        <v>45940</v>
      </c>
      <c r="U689" s="5">
        <v>10</v>
      </c>
    </row>
    <row r="690" spans="1:21" x14ac:dyDescent="0.3">
      <c r="A690" s="5" t="s">
        <v>751</v>
      </c>
      <c r="B690" s="1">
        <v>45996</v>
      </c>
      <c r="C690" s="5" t="s">
        <v>42</v>
      </c>
      <c r="D690" s="5" t="s">
        <v>53</v>
      </c>
      <c r="E690" s="5" t="s">
        <v>29</v>
      </c>
      <c r="F690" s="5" t="s">
        <v>58</v>
      </c>
      <c r="G690" s="5" t="s">
        <v>31</v>
      </c>
      <c r="H690" s="5" t="s">
        <v>39</v>
      </c>
      <c r="I690" s="5">
        <v>18</v>
      </c>
      <c r="J690" s="5">
        <v>3392</v>
      </c>
      <c r="K690" s="5">
        <v>4744.38</v>
      </c>
      <c r="L690" s="5">
        <v>800</v>
      </c>
      <c r="M690" s="5">
        <v>96</v>
      </c>
      <c r="N690" s="5">
        <v>5</v>
      </c>
      <c r="O690" s="5" t="s">
        <v>32</v>
      </c>
      <c r="P690" s="5">
        <v>4892</v>
      </c>
      <c r="Q690" s="5" t="s">
        <v>33</v>
      </c>
      <c r="R690" s="2">
        <v>85398.84</v>
      </c>
      <c r="S690" s="2">
        <v>24342.84</v>
      </c>
      <c r="T690" s="1">
        <v>45996</v>
      </c>
      <c r="U690" s="5">
        <v>12</v>
      </c>
    </row>
    <row r="691" spans="1:21" x14ac:dyDescent="0.3">
      <c r="A691" s="5" t="s">
        <v>752</v>
      </c>
      <c r="B691" s="1">
        <v>45959</v>
      </c>
      <c r="C691" s="5" t="s">
        <v>35</v>
      </c>
      <c r="D691" s="5" t="s">
        <v>36</v>
      </c>
      <c r="E691" s="5" t="s">
        <v>54</v>
      </c>
      <c r="F691" s="5" t="s">
        <v>87</v>
      </c>
      <c r="G691" s="5" t="s">
        <v>31</v>
      </c>
      <c r="H691" s="5" t="s">
        <v>23</v>
      </c>
      <c r="I691" s="5">
        <v>271</v>
      </c>
      <c r="J691" s="5">
        <v>4284</v>
      </c>
      <c r="K691" s="5">
        <v>6280.06</v>
      </c>
      <c r="L691" s="5">
        <v>588</v>
      </c>
      <c r="M691" s="5">
        <v>111</v>
      </c>
      <c r="N691" s="5">
        <v>8</v>
      </c>
      <c r="O691" s="5" t="s">
        <v>24</v>
      </c>
      <c r="P691" s="5">
        <v>6184</v>
      </c>
      <c r="Q691" s="5" t="s">
        <v>25</v>
      </c>
      <c r="R691" s="2">
        <v>1701896.26</v>
      </c>
      <c r="S691" s="2">
        <v>540932.26</v>
      </c>
      <c r="T691" s="1">
        <v>45959</v>
      </c>
      <c r="U691" s="5">
        <v>10</v>
      </c>
    </row>
    <row r="692" spans="1:21" x14ac:dyDescent="0.3">
      <c r="A692" s="5" t="s">
        <v>753</v>
      </c>
      <c r="B692" s="1">
        <v>45737</v>
      </c>
      <c r="C692" s="5" t="s">
        <v>42</v>
      </c>
      <c r="D692" s="5" t="s">
        <v>36</v>
      </c>
      <c r="E692" s="5" t="s">
        <v>54</v>
      </c>
      <c r="F692" s="5" t="s">
        <v>87</v>
      </c>
      <c r="G692" s="5" t="s">
        <v>38</v>
      </c>
      <c r="H692" s="5" t="s">
        <v>39</v>
      </c>
      <c r="I692" s="5">
        <v>262</v>
      </c>
      <c r="J692" s="5">
        <v>2140</v>
      </c>
      <c r="K692" s="5">
        <v>2780.83</v>
      </c>
      <c r="L692" s="5">
        <v>1314</v>
      </c>
      <c r="M692" s="5">
        <v>253</v>
      </c>
      <c r="N692" s="5">
        <v>8</v>
      </c>
      <c r="O692" s="5" t="s">
        <v>24</v>
      </c>
      <c r="P692" s="5">
        <v>695</v>
      </c>
      <c r="Q692" s="5" t="s">
        <v>33</v>
      </c>
      <c r="R692" s="2">
        <v>728577.46</v>
      </c>
      <c r="S692" s="2">
        <v>167897.46</v>
      </c>
      <c r="T692" s="1">
        <v>45737</v>
      </c>
      <c r="U692" s="5">
        <v>3</v>
      </c>
    </row>
    <row r="693" spans="1:21" x14ac:dyDescent="0.3">
      <c r="A693" s="5" t="s">
        <v>754</v>
      </c>
      <c r="B693" s="1">
        <v>45905</v>
      </c>
      <c r="C693" s="5" t="s">
        <v>27</v>
      </c>
      <c r="D693" s="5" t="s">
        <v>62</v>
      </c>
      <c r="E693" s="5" t="s">
        <v>20</v>
      </c>
      <c r="F693" s="5" t="s">
        <v>60</v>
      </c>
      <c r="G693" s="5" t="s">
        <v>22</v>
      </c>
      <c r="H693" s="5" t="s">
        <v>23</v>
      </c>
      <c r="I693" s="5">
        <v>35</v>
      </c>
      <c r="J693" s="5">
        <v>4873</v>
      </c>
      <c r="K693" s="5">
        <v>5890.95</v>
      </c>
      <c r="L693" s="5">
        <v>1324</v>
      </c>
      <c r="M693" s="5">
        <v>243</v>
      </c>
      <c r="N693" s="5">
        <v>1</v>
      </c>
      <c r="O693" s="5" t="s">
        <v>32</v>
      </c>
      <c r="P693" s="5">
        <v>4560</v>
      </c>
      <c r="Q693" s="5" t="s">
        <v>33</v>
      </c>
      <c r="R693" s="2">
        <v>206183.25</v>
      </c>
      <c r="S693" s="2">
        <v>35628.25</v>
      </c>
      <c r="T693" s="1">
        <v>45905</v>
      </c>
      <c r="U693" s="5">
        <v>9</v>
      </c>
    </row>
    <row r="694" spans="1:21" x14ac:dyDescent="0.3">
      <c r="A694" s="5" t="s">
        <v>755</v>
      </c>
      <c r="B694" s="1">
        <v>45877</v>
      </c>
      <c r="C694" s="5" t="s">
        <v>42</v>
      </c>
      <c r="D694" s="5" t="s">
        <v>36</v>
      </c>
      <c r="E694" s="5" t="s">
        <v>49</v>
      </c>
      <c r="F694" s="5" t="s">
        <v>94</v>
      </c>
      <c r="G694" s="5" t="s">
        <v>38</v>
      </c>
      <c r="H694" s="5" t="s">
        <v>23</v>
      </c>
      <c r="I694" s="5">
        <v>379</v>
      </c>
      <c r="J694" s="5">
        <v>3058</v>
      </c>
      <c r="K694" s="5">
        <v>3732.94</v>
      </c>
      <c r="L694" s="5">
        <v>209</v>
      </c>
      <c r="M694" s="5">
        <v>215</v>
      </c>
      <c r="N694" s="5">
        <v>1</v>
      </c>
      <c r="O694" s="5" t="s">
        <v>32</v>
      </c>
      <c r="P694" s="5">
        <v>7347</v>
      </c>
      <c r="Q694" s="5" t="s">
        <v>33</v>
      </c>
      <c r="R694" s="2">
        <v>1414784.26</v>
      </c>
      <c r="S694" s="2">
        <v>255802.26</v>
      </c>
      <c r="T694" s="1">
        <v>45877</v>
      </c>
      <c r="U694" s="5">
        <v>8</v>
      </c>
    </row>
    <row r="695" spans="1:21" x14ac:dyDescent="0.3">
      <c r="A695" s="5" t="s">
        <v>756</v>
      </c>
      <c r="B695" s="1">
        <v>45958</v>
      </c>
      <c r="C695" s="5" t="s">
        <v>27</v>
      </c>
      <c r="D695" s="5" t="s">
        <v>62</v>
      </c>
      <c r="E695" s="5" t="s">
        <v>49</v>
      </c>
      <c r="F695" s="5" t="s">
        <v>89</v>
      </c>
      <c r="G695" s="5" t="s">
        <v>56</v>
      </c>
      <c r="H695" s="5" t="s">
        <v>23</v>
      </c>
      <c r="I695" s="5">
        <v>294</v>
      </c>
      <c r="J695" s="5">
        <v>3310</v>
      </c>
      <c r="K695" s="5">
        <v>3808.38</v>
      </c>
      <c r="L695" s="5">
        <v>536</v>
      </c>
      <c r="M695" s="5">
        <v>88</v>
      </c>
      <c r="N695" s="5">
        <v>1</v>
      </c>
      <c r="O695" s="5" t="s">
        <v>32</v>
      </c>
      <c r="P695" s="5">
        <v>4793</v>
      </c>
      <c r="Q695" s="5" t="s">
        <v>33</v>
      </c>
      <c r="R695" s="2">
        <v>1119663.72</v>
      </c>
      <c r="S695" s="2">
        <v>146523.72</v>
      </c>
      <c r="T695" s="1">
        <v>45958</v>
      </c>
      <c r="U695" s="5">
        <v>10</v>
      </c>
    </row>
    <row r="696" spans="1:21" x14ac:dyDescent="0.3">
      <c r="A696" s="5" t="s">
        <v>757</v>
      </c>
      <c r="B696" s="1">
        <v>45879</v>
      </c>
      <c r="C696" s="5" t="s">
        <v>27</v>
      </c>
      <c r="D696" s="5" t="s">
        <v>28</v>
      </c>
      <c r="E696" s="5" t="s">
        <v>29</v>
      </c>
      <c r="F696" s="5" t="s">
        <v>73</v>
      </c>
      <c r="G696" s="5" t="s">
        <v>31</v>
      </c>
      <c r="H696" s="5" t="s">
        <v>51</v>
      </c>
      <c r="I696" s="5">
        <v>136</v>
      </c>
      <c r="J696" s="5">
        <v>1578</v>
      </c>
      <c r="K696" s="5">
        <v>1919.93</v>
      </c>
      <c r="L696" s="5">
        <v>992</v>
      </c>
      <c r="M696" s="5">
        <v>170</v>
      </c>
      <c r="N696" s="5">
        <v>6</v>
      </c>
      <c r="O696" s="5" t="s">
        <v>24</v>
      </c>
      <c r="P696" s="5">
        <v>4554</v>
      </c>
      <c r="Q696" s="5" t="s">
        <v>25</v>
      </c>
      <c r="R696" s="2">
        <v>261110.48</v>
      </c>
      <c r="S696" s="2">
        <v>46502.48</v>
      </c>
      <c r="T696" s="1">
        <v>45879</v>
      </c>
      <c r="U696" s="5">
        <v>8</v>
      </c>
    </row>
    <row r="697" spans="1:21" x14ac:dyDescent="0.3">
      <c r="A697" s="5" t="s">
        <v>758</v>
      </c>
      <c r="B697" s="1">
        <v>45853</v>
      </c>
      <c r="C697" s="5" t="s">
        <v>42</v>
      </c>
      <c r="D697" s="5" t="s">
        <v>36</v>
      </c>
      <c r="E697" s="5" t="s">
        <v>20</v>
      </c>
      <c r="F697" s="5" t="s">
        <v>21</v>
      </c>
      <c r="G697" s="5" t="s">
        <v>22</v>
      </c>
      <c r="H697" s="5" t="s">
        <v>51</v>
      </c>
      <c r="I697" s="5">
        <v>343</v>
      </c>
      <c r="J697" s="5">
        <v>4671</v>
      </c>
      <c r="K697" s="5">
        <v>5734.78</v>
      </c>
      <c r="L697" s="5">
        <v>272</v>
      </c>
      <c r="M697" s="5">
        <v>118</v>
      </c>
      <c r="N697" s="5">
        <v>4</v>
      </c>
      <c r="O697" s="5" t="s">
        <v>32</v>
      </c>
      <c r="P697" s="5">
        <v>1937</v>
      </c>
      <c r="Q697" s="5" t="s">
        <v>33</v>
      </c>
      <c r="R697" s="2">
        <v>1967029.54</v>
      </c>
      <c r="S697" s="2">
        <v>364876.54</v>
      </c>
      <c r="T697" s="1">
        <v>45853</v>
      </c>
      <c r="U697" s="5">
        <v>7</v>
      </c>
    </row>
    <row r="698" spans="1:21" x14ac:dyDescent="0.3">
      <c r="A698" s="5" t="s">
        <v>759</v>
      </c>
      <c r="B698" s="1">
        <v>45917</v>
      </c>
      <c r="C698" s="5" t="s">
        <v>35</v>
      </c>
      <c r="D698" s="5" t="s">
        <v>36</v>
      </c>
      <c r="E698" s="5" t="s">
        <v>29</v>
      </c>
      <c r="F698" s="5" t="s">
        <v>73</v>
      </c>
      <c r="G698" s="5" t="s">
        <v>38</v>
      </c>
      <c r="H698" s="5" t="s">
        <v>39</v>
      </c>
      <c r="I698" s="5">
        <v>481</v>
      </c>
      <c r="J698" s="5">
        <v>103</v>
      </c>
      <c r="K698" s="5">
        <v>150.31</v>
      </c>
      <c r="L698" s="5">
        <v>1712</v>
      </c>
      <c r="M698" s="5">
        <v>269</v>
      </c>
      <c r="N698" s="5">
        <v>8</v>
      </c>
      <c r="O698" s="5" t="s">
        <v>24</v>
      </c>
      <c r="P698" s="5">
        <v>3734</v>
      </c>
      <c r="Q698" s="5" t="s">
        <v>33</v>
      </c>
      <c r="R698" s="2">
        <v>72299.11</v>
      </c>
      <c r="S698" s="2">
        <v>22756.11</v>
      </c>
      <c r="T698" s="1">
        <v>45917</v>
      </c>
      <c r="U698" s="5">
        <v>9</v>
      </c>
    </row>
    <row r="699" spans="1:21" x14ac:dyDescent="0.3">
      <c r="A699" s="5" t="s">
        <v>760</v>
      </c>
      <c r="B699" s="1">
        <v>45908</v>
      </c>
      <c r="C699" s="5" t="s">
        <v>35</v>
      </c>
      <c r="D699" s="5" t="s">
        <v>28</v>
      </c>
      <c r="E699" s="5" t="s">
        <v>20</v>
      </c>
      <c r="F699" s="5" t="s">
        <v>37</v>
      </c>
      <c r="G699" s="5" t="s">
        <v>56</v>
      </c>
      <c r="H699" s="5" t="s">
        <v>23</v>
      </c>
      <c r="I699" s="5">
        <v>380</v>
      </c>
      <c r="J699" s="5">
        <v>2953</v>
      </c>
      <c r="K699" s="5">
        <v>4045.97</v>
      </c>
      <c r="L699" s="5">
        <v>822</v>
      </c>
      <c r="M699" s="5">
        <v>141</v>
      </c>
      <c r="N699" s="5">
        <v>7</v>
      </c>
      <c r="O699" s="5" t="s">
        <v>24</v>
      </c>
      <c r="P699" s="5">
        <v>1684</v>
      </c>
      <c r="Q699" s="5" t="s">
        <v>46</v>
      </c>
      <c r="R699" s="2">
        <v>1537468.6</v>
      </c>
      <c r="S699" s="2">
        <v>415328.6</v>
      </c>
      <c r="T699" s="1">
        <v>45908</v>
      </c>
      <c r="U699" s="5">
        <v>9</v>
      </c>
    </row>
    <row r="700" spans="1:21" x14ac:dyDescent="0.3">
      <c r="A700" s="5" t="s">
        <v>761</v>
      </c>
      <c r="B700" s="1">
        <v>45862</v>
      </c>
      <c r="C700" s="5" t="s">
        <v>35</v>
      </c>
      <c r="D700" s="5" t="s">
        <v>36</v>
      </c>
      <c r="E700" s="5" t="s">
        <v>49</v>
      </c>
      <c r="F700" s="5" t="s">
        <v>94</v>
      </c>
      <c r="G700" s="5" t="s">
        <v>38</v>
      </c>
      <c r="H700" s="5" t="s">
        <v>23</v>
      </c>
      <c r="I700" s="5">
        <v>280</v>
      </c>
      <c r="J700" s="5">
        <v>412</v>
      </c>
      <c r="K700" s="5">
        <v>507.06</v>
      </c>
      <c r="L700" s="5">
        <v>1309</v>
      </c>
      <c r="M700" s="5">
        <v>123</v>
      </c>
      <c r="N700" s="5">
        <v>1</v>
      </c>
      <c r="O700" s="5" t="s">
        <v>32</v>
      </c>
      <c r="P700" s="5">
        <v>7896</v>
      </c>
      <c r="Q700" s="5" t="s">
        <v>33</v>
      </c>
      <c r="R700" s="2">
        <v>141976.79999999999</v>
      </c>
      <c r="S700" s="2">
        <v>26616.799999999999</v>
      </c>
      <c r="T700" s="1">
        <v>45862</v>
      </c>
      <c r="U700" s="5">
        <v>7</v>
      </c>
    </row>
    <row r="701" spans="1:21" x14ac:dyDescent="0.3">
      <c r="A701" s="5" t="s">
        <v>762</v>
      </c>
      <c r="B701" s="1">
        <v>45911</v>
      </c>
      <c r="C701" s="5" t="s">
        <v>42</v>
      </c>
      <c r="D701" s="5" t="s">
        <v>19</v>
      </c>
      <c r="E701" s="5" t="s">
        <v>49</v>
      </c>
      <c r="F701" s="5" t="s">
        <v>65</v>
      </c>
      <c r="G701" s="5" t="s">
        <v>31</v>
      </c>
      <c r="H701" s="5" t="s">
        <v>23</v>
      </c>
      <c r="I701" s="5">
        <v>456</v>
      </c>
      <c r="J701" s="5">
        <v>3110</v>
      </c>
      <c r="K701" s="5">
        <v>4272.32</v>
      </c>
      <c r="L701" s="5">
        <v>854</v>
      </c>
      <c r="M701" s="5">
        <v>206</v>
      </c>
      <c r="N701" s="5">
        <v>5</v>
      </c>
      <c r="O701" s="5" t="s">
        <v>24</v>
      </c>
      <c r="P701" s="5">
        <v>6661</v>
      </c>
      <c r="Q701" s="5" t="s">
        <v>46</v>
      </c>
      <c r="R701" s="2">
        <v>1948177.92</v>
      </c>
      <c r="S701" s="2">
        <v>530017.92000000004</v>
      </c>
      <c r="T701" s="1">
        <v>45911</v>
      </c>
      <c r="U701" s="5">
        <v>9</v>
      </c>
    </row>
    <row r="702" spans="1:21" x14ac:dyDescent="0.3">
      <c r="A702" s="5" t="s">
        <v>763</v>
      </c>
      <c r="B702" s="1">
        <v>45942</v>
      </c>
      <c r="C702" s="5" t="s">
        <v>27</v>
      </c>
      <c r="D702" s="5" t="s">
        <v>28</v>
      </c>
      <c r="E702" s="5" t="s">
        <v>29</v>
      </c>
      <c r="F702" s="5" t="s">
        <v>43</v>
      </c>
      <c r="G702" s="5" t="s">
        <v>56</v>
      </c>
      <c r="H702" s="5" t="s">
        <v>51</v>
      </c>
      <c r="I702" s="5">
        <v>218</v>
      </c>
      <c r="J702" s="5">
        <v>3598</v>
      </c>
      <c r="K702" s="5">
        <v>5304.88</v>
      </c>
      <c r="L702" s="5">
        <v>1814</v>
      </c>
      <c r="M702" s="5">
        <v>213</v>
      </c>
      <c r="N702" s="5">
        <v>6</v>
      </c>
      <c r="O702" s="5" t="s">
        <v>24</v>
      </c>
      <c r="P702" s="5">
        <v>907</v>
      </c>
      <c r="Q702" s="5" t="s">
        <v>40</v>
      </c>
      <c r="R702" s="2">
        <v>1156463.8400000001</v>
      </c>
      <c r="S702" s="2">
        <v>372099.84000000003</v>
      </c>
      <c r="T702" s="1">
        <v>45942</v>
      </c>
      <c r="U702" s="5">
        <v>10</v>
      </c>
    </row>
    <row r="703" spans="1:21" x14ac:dyDescent="0.3">
      <c r="A703" s="5" t="s">
        <v>764</v>
      </c>
      <c r="B703" s="1">
        <v>45893</v>
      </c>
      <c r="C703" s="5" t="s">
        <v>27</v>
      </c>
      <c r="D703" s="5" t="s">
        <v>62</v>
      </c>
      <c r="E703" s="5" t="s">
        <v>20</v>
      </c>
      <c r="F703" s="5" t="s">
        <v>45</v>
      </c>
      <c r="G703" s="5" t="s">
        <v>56</v>
      </c>
      <c r="H703" s="5" t="s">
        <v>23</v>
      </c>
      <c r="I703" s="5">
        <v>40</v>
      </c>
      <c r="J703" s="5">
        <v>3419</v>
      </c>
      <c r="K703" s="5">
        <v>4533.1099999999997</v>
      </c>
      <c r="L703" s="5">
        <v>461</v>
      </c>
      <c r="M703" s="5">
        <v>106</v>
      </c>
      <c r="N703" s="5">
        <v>9</v>
      </c>
      <c r="O703" s="5" t="s">
        <v>24</v>
      </c>
      <c r="P703" s="5">
        <v>3173</v>
      </c>
      <c r="Q703" s="5" t="s">
        <v>40</v>
      </c>
      <c r="R703" s="2">
        <v>181324.4</v>
      </c>
      <c r="S703" s="2">
        <v>44564.4</v>
      </c>
      <c r="T703" s="1">
        <v>45893</v>
      </c>
      <c r="U703" s="5">
        <v>8</v>
      </c>
    </row>
    <row r="704" spans="1:21" x14ac:dyDescent="0.3">
      <c r="A704" s="5" t="s">
        <v>765</v>
      </c>
      <c r="B704" s="1">
        <v>45860</v>
      </c>
      <c r="C704" s="5" t="s">
        <v>27</v>
      </c>
      <c r="D704" s="5" t="s">
        <v>28</v>
      </c>
      <c r="E704" s="5" t="s">
        <v>54</v>
      </c>
      <c r="F704" s="5" t="s">
        <v>81</v>
      </c>
      <c r="G704" s="5" t="s">
        <v>31</v>
      </c>
      <c r="H704" s="5" t="s">
        <v>23</v>
      </c>
      <c r="I704" s="5">
        <v>214</v>
      </c>
      <c r="J704" s="5">
        <v>1678</v>
      </c>
      <c r="K704" s="5">
        <v>2387.86</v>
      </c>
      <c r="L704" s="5">
        <v>1804</v>
      </c>
      <c r="M704" s="5">
        <v>248</v>
      </c>
      <c r="N704" s="5">
        <v>10</v>
      </c>
      <c r="O704" s="5" t="s">
        <v>24</v>
      </c>
      <c r="P704" s="5">
        <v>2223</v>
      </c>
      <c r="Q704" s="5" t="s">
        <v>40</v>
      </c>
      <c r="R704" s="2">
        <v>511002.04</v>
      </c>
      <c r="S704" s="2">
        <v>151910.04</v>
      </c>
      <c r="T704" s="1">
        <v>45860</v>
      </c>
      <c r="U704" s="5">
        <v>7</v>
      </c>
    </row>
    <row r="705" spans="1:21" x14ac:dyDescent="0.3">
      <c r="A705" s="5" t="s">
        <v>766</v>
      </c>
      <c r="B705" s="1">
        <v>45901</v>
      </c>
      <c r="C705" s="5" t="s">
        <v>42</v>
      </c>
      <c r="D705" s="5" t="s">
        <v>53</v>
      </c>
      <c r="E705" s="5" t="s">
        <v>54</v>
      </c>
      <c r="F705" s="5" t="s">
        <v>78</v>
      </c>
      <c r="G705" s="5" t="s">
        <v>22</v>
      </c>
      <c r="H705" s="5" t="s">
        <v>39</v>
      </c>
      <c r="I705" s="5">
        <v>302</v>
      </c>
      <c r="J705" s="5">
        <v>288</v>
      </c>
      <c r="K705" s="5">
        <v>372.66</v>
      </c>
      <c r="L705" s="5">
        <v>1967</v>
      </c>
      <c r="M705" s="5">
        <v>119</v>
      </c>
      <c r="N705" s="5">
        <v>10</v>
      </c>
      <c r="O705" s="5" t="s">
        <v>24</v>
      </c>
      <c r="P705" s="5">
        <v>4032</v>
      </c>
      <c r="Q705" s="5" t="s">
        <v>46</v>
      </c>
      <c r="R705" s="2">
        <v>112543.32</v>
      </c>
      <c r="S705" s="2">
        <v>25567.32</v>
      </c>
      <c r="T705" s="1">
        <v>45901</v>
      </c>
      <c r="U705" s="5">
        <v>9</v>
      </c>
    </row>
    <row r="706" spans="1:21" x14ac:dyDescent="0.3">
      <c r="A706" s="5" t="s">
        <v>767</v>
      </c>
      <c r="B706" s="1">
        <v>45874</v>
      </c>
      <c r="C706" s="5" t="s">
        <v>27</v>
      </c>
      <c r="D706" s="5" t="s">
        <v>36</v>
      </c>
      <c r="E706" s="5" t="s">
        <v>49</v>
      </c>
      <c r="F706" s="5" t="s">
        <v>94</v>
      </c>
      <c r="G706" s="5" t="s">
        <v>38</v>
      </c>
      <c r="H706" s="5" t="s">
        <v>51</v>
      </c>
      <c r="I706" s="5">
        <v>339</v>
      </c>
      <c r="J706" s="5">
        <v>2855</v>
      </c>
      <c r="K706" s="5">
        <v>3453.43</v>
      </c>
      <c r="L706" s="5">
        <v>645</v>
      </c>
      <c r="M706" s="5">
        <v>231</v>
      </c>
      <c r="N706" s="5">
        <v>5</v>
      </c>
      <c r="O706" s="5" t="s">
        <v>32</v>
      </c>
      <c r="P706" s="5">
        <v>7323</v>
      </c>
      <c r="Q706" s="5" t="s">
        <v>33</v>
      </c>
      <c r="R706" s="2">
        <v>1170712.77</v>
      </c>
      <c r="S706" s="2">
        <v>202867.77</v>
      </c>
      <c r="T706" s="1">
        <v>45874</v>
      </c>
      <c r="U706" s="5">
        <v>8</v>
      </c>
    </row>
    <row r="707" spans="1:21" x14ac:dyDescent="0.3">
      <c r="A707" s="5" t="s">
        <v>768</v>
      </c>
      <c r="B707" s="1">
        <v>45843</v>
      </c>
      <c r="C707" s="5" t="s">
        <v>42</v>
      </c>
      <c r="D707" s="5" t="s">
        <v>62</v>
      </c>
      <c r="E707" s="5" t="s">
        <v>54</v>
      </c>
      <c r="F707" s="5" t="s">
        <v>81</v>
      </c>
      <c r="G707" s="5" t="s">
        <v>38</v>
      </c>
      <c r="H707" s="5" t="s">
        <v>23</v>
      </c>
      <c r="I707" s="5">
        <v>458</v>
      </c>
      <c r="J707" s="5">
        <v>2718</v>
      </c>
      <c r="K707" s="5">
        <v>3770.73</v>
      </c>
      <c r="L707" s="5">
        <v>848</v>
      </c>
      <c r="M707" s="5">
        <v>297</v>
      </c>
      <c r="N707" s="5">
        <v>9</v>
      </c>
      <c r="O707" s="5" t="s">
        <v>24</v>
      </c>
      <c r="P707" s="5">
        <v>1777</v>
      </c>
      <c r="Q707" s="5" t="s">
        <v>46</v>
      </c>
      <c r="R707" s="2">
        <v>1726994.34</v>
      </c>
      <c r="S707" s="2">
        <v>482150.34</v>
      </c>
      <c r="T707" s="1">
        <v>45843</v>
      </c>
      <c r="U707" s="5">
        <v>7</v>
      </c>
    </row>
    <row r="708" spans="1:21" x14ac:dyDescent="0.3">
      <c r="A708" s="5" t="s">
        <v>769</v>
      </c>
      <c r="B708" s="1">
        <v>45847</v>
      </c>
      <c r="C708" s="5" t="s">
        <v>18</v>
      </c>
      <c r="D708" s="5" t="s">
        <v>62</v>
      </c>
      <c r="E708" s="5" t="s">
        <v>29</v>
      </c>
      <c r="F708" s="5" t="s">
        <v>43</v>
      </c>
      <c r="G708" s="5" t="s">
        <v>56</v>
      </c>
      <c r="H708" s="5" t="s">
        <v>51</v>
      </c>
      <c r="I708" s="5">
        <v>345</v>
      </c>
      <c r="J708" s="5">
        <v>3256</v>
      </c>
      <c r="K708" s="5">
        <v>4034.82</v>
      </c>
      <c r="L708" s="5">
        <v>1204</v>
      </c>
      <c r="M708" s="5">
        <v>252</v>
      </c>
      <c r="N708" s="5">
        <v>4</v>
      </c>
      <c r="O708" s="5" t="s">
        <v>24</v>
      </c>
      <c r="P708" s="5">
        <v>5320</v>
      </c>
      <c r="Q708" s="5" t="s">
        <v>46</v>
      </c>
      <c r="R708" s="2">
        <v>1392012.9</v>
      </c>
      <c r="S708" s="2">
        <v>268692.90000000002</v>
      </c>
      <c r="T708" s="1">
        <v>45847</v>
      </c>
      <c r="U708" s="5">
        <v>7</v>
      </c>
    </row>
    <row r="709" spans="1:21" x14ac:dyDescent="0.3">
      <c r="A709" s="5" t="s">
        <v>770</v>
      </c>
      <c r="B709" s="1">
        <v>45754</v>
      </c>
      <c r="C709" s="5" t="s">
        <v>35</v>
      </c>
      <c r="D709" s="5" t="s">
        <v>28</v>
      </c>
      <c r="E709" s="5" t="s">
        <v>49</v>
      </c>
      <c r="F709" s="5" t="s">
        <v>65</v>
      </c>
      <c r="G709" s="5" t="s">
        <v>38</v>
      </c>
      <c r="H709" s="5" t="s">
        <v>51</v>
      </c>
      <c r="I709" s="5">
        <v>30</v>
      </c>
      <c r="J709" s="5">
        <v>4135</v>
      </c>
      <c r="K709" s="5">
        <v>5036.29</v>
      </c>
      <c r="L709" s="5">
        <v>977</v>
      </c>
      <c r="M709" s="5">
        <v>205</v>
      </c>
      <c r="N709" s="5">
        <v>6</v>
      </c>
      <c r="O709" s="5" t="s">
        <v>24</v>
      </c>
      <c r="P709" s="5">
        <v>4655</v>
      </c>
      <c r="Q709" s="5" t="s">
        <v>33</v>
      </c>
      <c r="R709" s="2">
        <v>151088.70000000001</v>
      </c>
      <c r="S709" s="2">
        <v>27038.7</v>
      </c>
      <c r="T709" s="1">
        <v>45754</v>
      </c>
      <c r="U709" s="5">
        <v>4</v>
      </c>
    </row>
    <row r="710" spans="1:21" x14ac:dyDescent="0.3">
      <c r="A710" s="5" t="s">
        <v>771</v>
      </c>
      <c r="B710" s="1">
        <v>45756</v>
      </c>
      <c r="C710" s="5" t="s">
        <v>42</v>
      </c>
      <c r="D710" s="5" t="s">
        <v>62</v>
      </c>
      <c r="E710" s="5" t="s">
        <v>20</v>
      </c>
      <c r="F710" s="5" t="s">
        <v>100</v>
      </c>
      <c r="G710" s="5" t="s">
        <v>22</v>
      </c>
      <c r="H710" s="5" t="s">
        <v>39</v>
      </c>
      <c r="I710" s="5">
        <v>220</v>
      </c>
      <c r="J710" s="5">
        <v>1283</v>
      </c>
      <c r="K710" s="5">
        <v>1611.9</v>
      </c>
      <c r="L710" s="5">
        <v>1908</v>
      </c>
      <c r="M710" s="5">
        <v>216</v>
      </c>
      <c r="N710" s="5">
        <v>7</v>
      </c>
      <c r="O710" s="5" t="s">
        <v>24</v>
      </c>
      <c r="P710" s="5">
        <v>6517</v>
      </c>
      <c r="Q710" s="5" t="s">
        <v>25</v>
      </c>
      <c r="R710" s="2">
        <v>354618</v>
      </c>
      <c r="S710" s="2">
        <v>72358</v>
      </c>
      <c r="T710" s="1">
        <v>45756</v>
      </c>
      <c r="U710" s="5">
        <v>4</v>
      </c>
    </row>
    <row r="711" spans="1:21" x14ac:dyDescent="0.3">
      <c r="A711" s="5" t="s">
        <v>772</v>
      </c>
      <c r="B711" s="1">
        <v>45927</v>
      </c>
      <c r="C711" s="5" t="s">
        <v>35</v>
      </c>
      <c r="D711" s="5" t="s">
        <v>28</v>
      </c>
      <c r="E711" s="5" t="s">
        <v>49</v>
      </c>
      <c r="F711" s="5" t="s">
        <v>65</v>
      </c>
      <c r="G711" s="5" t="s">
        <v>38</v>
      </c>
      <c r="H711" s="5" t="s">
        <v>51</v>
      </c>
      <c r="I711" s="5">
        <v>357</v>
      </c>
      <c r="J711" s="5">
        <v>681</v>
      </c>
      <c r="K711" s="5">
        <v>869.47</v>
      </c>
      <c r="L711" s="5">
        <v>58</v>
      </c>
      <c r="M711" s="5">
        <v>280</v>
      </c>
      <c r="N711" s="5">
        <v>4</v>
      </c>
      <c r="O711" s="5" t="s">
        <v>32</v>
      </c>
      <c r="P711" s="5">
        <v>2733</v>
      </c>
      <c r="Q711" s="5" t="s">
        <v>33</v>
      </c>
      <c r="R711" s="2">
        <v>310400.78999999998</v>
      </c>
      <c r="S711" s="2">
        <v>67283.789999999994</v>
      </c>
      <c r="T711" s="1">
        <v>45927</v>
      </c>
      <c r="U711" s="5">
        <v>9</v>
      </c>
    </row>
    <row r="712" spans="1:21" x14ac:dyDescent="0.3">
      <c r="A712" s="5" t="s">
        <v>773</v>
      </c>
      <c r="B712" s="1">
        <v>45973</v>
      </c>
      <c r="C712" s="5" t="s">
        <v>35</v>
      </c>
      <c r="D712" s="5" t="s">
        <v>28</v>
      </c>
      <c r="E712" s="5" t="s">
        <v>29</v>
      </c>
      <c r="F712" s="5" t="s">
        <v>43</v>
      </c>
      <c r="G712" s="5" t="s">
        <v>56</v>
      </c>
      <c r="H712" s="5" t="s">
        <v>39</v>
      </c>
      <c r="I712" s="5">
        <v>229</v>
      </c>
      <c r="J712" s="5">
        <v>4031</v>
      </c>
      <c r="K712" s="5">
        <v>4828.5200000000004</v>
      </c>
      <c r="L712" s="5">
        <v>1598</v>
      </c>
      <c r="M712" s="5">
        <v>289</v>
      </c>
      <c r="N712" s="5">
        <v>4</v>
      </c>
      <c r="O712" s="5" t="s">
        <v>32</v>
      </c>
      <c r="P712" s="5">
        <v>2243</v>
      </c>
      <c r="Q712" s="5" t="s">
        <v>33</v>
      </c>
      <c r="R712" s="2">
        <v>1105731.08</v>
      </c>
      <c r="S712" s="2">
        <v>182632.08</v>
      </c>
      <c r="T712" s="1">
        <v>45973</v>
      </c>
      <c r="U712" s="5">
        <v>11</v>
      </c>
    </row>
    <row r="713" spans="1:21" x14ac:dyDescent="0.3">
      <c r="A713" s="5" t="s">
        <v>774</v>
      </c>
      <c r="B713" s="1">
        <v>45785</v>
      </c>
      <c r="C713" s="5" t="s">
        <v>18</v>
      </c>
      <c r="D713" s="5" t="s">
        <v>28</v>
      </c>
      <c r="E713" s="5" t="s">
        <v>20</v>
      </c>
      <c r="F713" s="5" t="s">
        <v>21</v>
      </c>
      <c r="G713" s="5" t="s">
        <v>22</v>
      </c>
      <c r="H713" s="5" t="s">
        <v>51</v>
      </c>
      <c r="I713" s="5">
        <v>175</v>
      </c>
      <c r="J713" s="5">
        <v>3813</v>
      </c>
      <c r="K713" s="5">
        <v>5711.04</v>
      </c>
      <c r="L713" s="5">
        <v>270</v>
      </c>
      <c r="M713" s="5">
        <v>224</v>
      </c>
      <c r="N713" s="5">
        <v>1</v>
      </c>
      <c r="O713" s="5" t="s">
        <v>32</v>
      </c>
      <c r="P713" s="5">
        <v>956</v>
      </c>
      <c r="Q713" s="5" t="s">
        <v>25</v>
      </c>
      <c r="R713" s="2">
        <v>999432</v>
      </c>
      <c r="S713" s="2">
        <v>332157</v>
      </c>
      <c r="T713" s="1">
        <v>45785</v>
      </c>
      <c r="U713" s="5">
        <v>5</v>
      </c>
    </row>
    <row r="714" spans="1:21" x14ac:dyDescent="0.3">
      <c r="A714" s="5" t="s">
        <v>775</v>
      </c>
      <c r="B714" s="1">
        <v>45864</v>
      </c>
      <c r="C714" s="5" t="s">
        <v>18</v>
      </c>
      <c r="D714" s="5" t="s">
        <v>53</v>
      </c>
      <c r="E714" s="5" t="s">
        <v>29</v>
      </c>
      <c r="F714" s="5" t="s">
        <v>73</v>
      </c>
      <c r="G714" s="5" t="s">
        <v>38</v>
      </c>
      <c r="H714" s="5" t="s">
        <v>23</v>
      </c>
      <c r="I714" s="5">
        <v>278</v>
      </c>
      <c r="J714" s="5">
        <v>1700</v>
      </c>
      <c r="K714" s="5">
        <v>2364.3200000000002</v>
      </c>
      <c r="L714" s="5">
        <v>579</v>
      </c>
      <c r="M714" s="5">
        <v>113</v>
      </c>
      <c r="N714" s="5">
        <v>4</v>
      </c>
      <c r="O714" s="5" t="s">
        <v>32</v>
      </c>
      <c r="P714" s="5">
        <v>1884</v>
      </c>
      <c r="Q714" s="5" t="s">
        <v>33</v>
      </c>
      <c r="R714" s="2">
        <v>657280.96</v>
      </c>
      <c r="S714" s="2">
        <v>184680.95999999999</v>
      </c>
      <c r="T714" s="1">
        <v>45864</v>
      </c>
      <c r="U714" s="5">
        <v>7</v>
      </c>
    </row>
    <row r="715" spans="1:21" x14ac:dyDescent="0.3">
      <c r="A715" s="5" t="s">
        <v>776</v>
      </c>
      <c r="B715" s="1">
        <v>45988</v>
      </c>
      <c r="C715" s="5" t="s">
        <v>27</v>
      </c>
      <c r="D715" s="5" t="s">
        <v>19</v>
      </c>
      <c r="E715" s="5" t="s">
        <v>20</v>
      </c>
      <c r="F715" s="5" t="s">
        <v>100</v>
      </c>
      <c r="G715" s="5" t="s">
        <v>56</v>
      </c>
      <c r="H715" s="5" t="s">
        <v>51</v>
      </c>
      <c r="I715" s="5">
        <v>68</v>
      </c>
      <c r="J715" s="5">
        <v>2620</v>
      </c>
      <c r="K715" s="5">
        <v>3543.61</v>
      </c>
      <c r="L715" s="5">
        <v>1358</v>
      </c>
      <c r="M715" s="5">
        <v>290</v>
      </c>
      <c r="N715" s="5">
        <v>9</v>
      </c>
      <c r="O715" s="5" t="s">
        <v>24</v>
      </c>
      <c r="P715" s="5">
        <v>346</v>
      </c>
      <c r="Q715" s="5" t="s">
        <v>33</v>
      </c>
      <c r="R715" s="2">
        <v>240965.48</v>
      </c>
      <c r="S715" s="2">
        <v>62805.48</v>
      </c>
      <c r="T715" s="1">
        <v>45988</v>
      </c>
      <c r="U715" s="5">
        <v>11</v>
      </c>
    </row>
    <row r="716" spans="1:21" x14ac:dyDescent="0.3">
      <c r="A716" s="5" t="s">
        <v>777</v>
      </c>
      <c r="B716" s="1">
        <v>45750</v>
      </c>
      <c r="C716" s="5" t="s">
        <v>27</v>
      </c>
      <c r="D716" s="5" t="s">
        <v>53</v>
      </c>
      <c r="E716" s="5" t="s">
        <v>29</v>
      </c>
      <c r="F716" s="5" t="s">
        <v>30</v>
      </c>
      <c r="G716" s="5" t="s">
        <v>38</v>
      </c>
      <c r="H716" s="5" t="s">
        <v>39</v>
      </c>
      <c r="I716" s="5">
        <v>15</v>
      </c>
      <c r="J716" s="5">
        <v>269</v>
      </c>
      <c r="K716" s="5">
        <v>326.68</v>
      </c>
      <c r="L716" s="5">
        <v>948</v>
      </c>
      <c r="M716" s="5">
        <v>182</v>
      </c>
      <c r="N716" s="5">
        <v>6</v>
      </c>
      <c r="O716" s="5" t="s">
        <v>24</v>
      </c>
      <c r="P716" s="5">
        <v>3048</v>
      </c>
      <c r="Q716" s="5" t="s">
        <v>33</v>
      </c>
      <c r="R716" s="2">
        <v>4900.2</v>
      </c>
      <c r="S716" s="2">
        <v>865.2</v>
      </c>
      <c r="T716" s="1">
        <v>45750</v>
      </c>
      <c r="U716" s="5">
        <v>4</v>
      </c>
    </row>
    <row r="717" spans="1:21" x14ac:dyDescent="0.3">
      <c r="A717" s="5" t="s">
        <v>778</v>
      </c>
      <c r="B717" s="1">
        <v>45914</v>
      </c>
      <c r="C717" s="5" t="s">
        <v>27</v>
      </c>
      <c r="D717" s="5" t="s">
        <v>36</v>
      </c>
      <c r="E717" s="5" t="s">
        <v>49</v>
      </c>
      <c r="F717" s="5" t="s">
        <v>75</v>
      </c>
      <c r="G717" s="5" t="s">
        <v>38</v>
      </c>
      <c r="H717" s="5" t="s">
        <v>51</v>
      </c>
      <c r="I717" s="5">
        <v>165</v>
      </c>
      <c r="J717" s="5">
        <v>4200</v>
      </c>
      <c r="K717" s="5">
        <v>5053.13</v>
      </c>
      <c r="L717" s="5">
        <v>532</v>
      </c>
      <c r="M717" s="5">
        <v>111</v>
      </c>
      <c r="N717" s="5">
        <v>7</v>
      </c>
      <c r="O717" s="5" t="s">
        <v>24</v>
      </c>
      <c r="P717" s="5">
        <v>700</v>
      </c>
      <c r="Q717" s="5" t="s">
        <v>25</v>
      </c>
      <c r="R717" s="2">
        <v>833766.45</v>
      </c>
      <c r="S717" s="2">
        <v>140766.45000000001</v>
      </c>
      <c r="T717" s="1">
        <v>45914</v>
      </c>
      <c r="U717" s="5">
        <v>9</v>
      </c>
    </row>
    <row r="718" spans="1:21" x14ac:dyDescent="0.3">
      <c r="A718" s="5" t="s">
        <v>779</v>
      </c>
      <c r="B718" s="1">
        <v>46003</v>
      </c>
      <c r="C718" s="5" t="s">
        <v>35</v>
      </c>
      <c r="D718" s="5" t="s">
        <v>62</v>
      </c>
      <c r="E718" s="5" t="s">
        <v>54</v>
      </c>
      <c r="F718" s="5" t="s">
        <v>81</v>
      </c>
      <c r="G718" s="5" t="s">
        <v>56</v>
      </c>
      <c r="H718" s="5" t="s">
        <v>39</v>
      </c>
      <c r="I718" s="5">
        <v>252</v>
      </c>
      <c r="J718" s="5">
        <v>3553</v>
      </c>
      <c r="K718" s="5">
        <v>4861</v>
      </c>
      <c r="L718" s="5">
        <v>1349</v>
      </c>
      <c r="M718" s="5">
        <v>166</v>
      </c>
      <c r="N718" s="5">
        <v>6</v>
      </c>
      <c r="O718" s="5" t="s">
        <v>24</v>
      </c>
      <c r="P718" s="5">
        <v>5965</v>
      </c>
      <c r="Q718" s="5" t="s">
        <v>33</v>
      </c>
      <c r="R718" s="2">
        <v>1224972</v>
      </c>
      <c r="S718" s="2">
        <v>329616</v>
      </c>
      <c r="T718" s="1">
        <v>46003</v>
      </c>
      <c r="U718" s="5">
        <v>12</v>
      </c>
    </row>
    <row r="719" spans="1:21" x14ac:dyDescent="0.3">
      <c r="A719" s="5" t="s">
        <v>780</v>
      </c>
      <c r="B719" s="1">
        <v>45845</v>
      </c>
      <c r="C719" s="5" t="s">
        <v>42</v>
      </c>
      <c r="D719" s="5" t="s">
        <v>28</v>
      </c>
      <c r="E719" s="5" t="s">
        <v>20</v>
      </c>
      <c r="F719" s="5" t="s">
        <v>45</v>
      </c>
      <c r="G719" s="5" t="s">
        <v>38</v>
      </c>
      <c r="H719" s="5" t="s">
        <v>23</v>
      </c>
      <c r="I719" s="5">
        <v>214</v>
      </c>
      <c r="J719" s="5">
        <v>2434</v>
      </c>
      <c r="K719" s="5">
        <v>3152.05</v>
      </c>
      <c r="L719" s="5">
        <v>529</v>
      </c>
      <c r="M719" s="5">
        <v>169</v>
      </c>
      <c r="N719" s="5">
        <v>5</v>
      </c>
      <c r="O719" s="5" t="s">
        <v>32</v>
      </c>
      <c r="P719" s="5">
        <v>1521</v>
      </c>
      <c r="Q719" s="5" t="s">
        <v>33</v>
      </c>
      <c r="R719" s="2">
        <v>674538.7</v>
      </c>
      <c r="S719" s="2">
        <v>153662.70000000001</v>
      </c>
      <c r="T719" s="1">
        <v>45845</v>
      </c>
      <c r="U719" s="5">
        <v>7</v>
      </c>
    </row>
    <row r="720" spans="1:21" x14ac:dyDescent="0.3">
      <c r="A720" s="5" t="s">
        <v>781</v>
      </c>
      <c r="B720" s="1">
        <v>45832</v>
      </c>
      <c r="C720" s="5" t="s">
        <v>35</v>
      </c>
      <c r="D720" s="5" t="s">
        <v>36</v>
      </c>
      <c r="E720" s="5" t="s">
        <v>20</v>
      </c>
      <c r="F720" s="5" t="s">
        <v>21</v>
      </c>
      <c r="G720" s="5" t="s">
        <v>22</v>
      </c>
      <c r="H720" s="5" t="s">
        <v>23</v>
      </c>
      <c r="I720" s="5">
        <v>385</v>
      </c>
      <c r="J720" s="5">
        <v>1404</v>
      </c>
      <c r="K720" s="5">
        <v>1994.05</v>
      </c>
      <c r="L720" s="5">
        <v>189</v>
      </c>
      <c r="M720" s="5">
        <v>120</v>
      </c>
      <c r="N720" s="5">
        <v>4</v>
      </c>
      <c r="O720" s="5" t="s">
        <v>32</v>
      </c>
      <c r="P720" s="5">
        <v>3348</v>
      </c>
      <c r="Q720" s="5" t="s">
        <v>33</v>
      </c>
      <c r="R720" s="2">
        <v>767709.25</v>
      </c>
      <c r="S720" s="2">
        <v>227169.25</v>
      </c>
      <c r="T720" s="1">
        <v>45832</v>
      </c>
      <c r="U720" s="5">
        <v>6</v>
      </c>
    </row>
    <row r="721" spans="1:21" x14ac:dyDescent="0.3">
      <c r="A721" s="5" t="s">
        <v>782</v>
      </c>
      <c r="B721" s="1">
        <v>45951</v>
      </c>
      <c r="C721" s="5" t="s">
        <v>18</v>
      </c>
      <c r="D721" s="5" t="s">
        <v>36</v>
      </c>
      <c r="E721" s="5" t="s">
        <v>20</v>
      </c>
      <c r="F721" s="5" t="s">
        <v>21</v>
      </c>
      <c r="G721" s="5" t="s">
        <v>56</v>
      </c>
      <c r="H721" s="5" t="s">
        <v>51</v>
      </c>
      <c r="I721" s="5">
        <v>477</v>
      </c>
      <c r="J721" s="5">
        <v>3297</v>
      </c>
      <c r="K721" s="5">
        <v>4067.13</v>
      </c>
      <c r="L721" s="5">
        <v>1404</v>
      </c>
      <c r="M721" s="5">
        <v>218</v>
      </c>
      <c r="N721" s="5">
        <v>7</v>
      </c>
      <c r="O721" s="5" t="s">
        <v>24</v>
      </c>
      <c r="P721" s="5">
        <v>5445</v>
      </c>
      <c r="Q721" s="5" t="s">
        <v>40</v>
      </c>
      <c r="R721" s="2">
        <v>1940021.01</v>
      </c>
      <c r="S721" s="2">
        <v>367352.01</v>
      </c>
      <c r="T721" s="1">
        <v>45951</v>
      </c>
      <c r="U721" s="5">
        <v>10</v>
      </c>
    </row>
    <row r="722" spans="1:21" x14ac:dyDescent="0.3">
      <c r="A722" s="5" t="s">
        <v>783</v>
      </c>
      <c r="B722" s="1">
        <v>45728</v>
      </c>
      <c r="C722" s="5" t="s">
        <v>35</v>
      </c>
      <c r="D722" s="5" t="s">
        <v>36</v>
      </c>
      <c r="E722" s="5" t="s">
        <v>20</v>
      </c>
      <c r="F722" s="5" t="s">
        <v>37</v>
      </c>
      <c r="G722" s="5" t="s">
        <v>31</v>
      </c>
      <c r="H722" s="5" t="s">
        <v>51</v>
      </c>
      <c r="I722" s="5">
        <v>424</v>
      </c>
      <c r="J722" s="5">
        <v>1175</v>
      </c>
      <c r="K722" s="5">
        <v>1545.59</v>
      </c>
      <c r="L722" s="5">
        <v>1871</v>
      </c>
      <c r="M722" s="5">
        <v>283</v>
      </c>
      <c r="N722" s="5">
        <v>1</v>
      </c>
      <c r="O722" s="5" t="s">
        <v>32</v>
      </c>
      <c r="P722" s="5">
        <v>2949</v>
      </c>
      <c r="Q722" s="5" t="s">
        <v>33</v>
      </c>
      <c r="R722" s="2">
        <v>655330.16</v>
      </c>
      <c r="S722" s="2">
        <v>157130.16</v>
      </c>
      <c r="T722" s="1">
        <v>45728</v>
      </c>
      <c r="U722" s="5">
        <v>3</v>
      </c>
    </row>
    <row r="723" spans="1:21" x14ac:dyDescent="0.3">
      <c r="A723" s="5" t="s">
        <v>784</v>
      </c>
      <c r="B723" s="1">
        <v>45861</v>
      </c>
      <c r="C723" s="5" t="s">
        <v>27</v>
      </c>
      <c r="D723" s="5" t="s">
        <v>36</v>
      </c>
      <c r="E723" s="5" t="s">
        <v>54</v>
      </c>
      <c r="F723" s="5" t="s">
        <v>55</v>
      </c>
      <c r="G723" s="5" t="s">
        <v>22</v>
      </c>
      <c r="H723" s="5" t="s">
        <v>23</v>
      </c>
      <c r="I723" s="5">
        <v>479</v>
      </c>
      <c r="J723" s="5">
        <v>3786</v>
      </c>
      <c r="K723" s="5">
        <v>5120.3</v>
      </c>
      <c r="L723" s="5">
        <v>1094</v>
      </c>
      <c r="M723" s="5">
        <v>111</v>
      </c>
      <c r="N723" s="5">
        <v>1</v>
      </c>
      <c r="O723" s="5" t="s">
        <v>32</v>
      </c>
      <c r="P723" s="5">
        <v>2432</v>
      </c>
      <c r="Q723" s="5" t="s">
        <v>33</v>
      </c>
      <c r="R723" s="2">
        <v>2452623.7000000002</v>
      </c>
      <c r="S723" s="2">
        <v>639129.69999999995</v>
      </c>
      <c r="T723" s="1">
        <v>45861</v>
      </c>
      <c r="U723" s="5">
        <v>7</v>
      </c>
    </row>
    <row r="724" spans="1:21" x14ac:dyDescent="0.3">
      <c r="A724" s="5" t="s">
        <v>785</v>
      </c>
      <c r="B724" s="1">
        <v>45788</v>
      </c>
      <c r="C724" s="5" t="s">
        <v>18</v>
      </c>
      <c r="D724" s="5" t="s">
        <v>28</v>
      </c>
      <c r="E724" s="5" t="s">
        <v>29</v>
      </c>
      <c r="F724" s="5" t="s">
        <v>30</v>
      </c>
      <c r="G724" s="5" t="s">
        <v>56</v>
      </c>
      <c r="H724" s="5" t="s">
        <v>51</v>
      </c>
      <c r="I724" s="5">
        <v>153</v>
      </c>
      <c r="J724" s="5">
        <v>3213</v>
      </c>
      <c r="K724" s="5">
        <v>4312.62</v>
      </c>
      <c r="L724" s="5">
        <v>1049</v>
      </c>
      <c r="M724" s="5">
        <v>124</v>
      </c>
      <c r="N724" s="5">
        <v>2</v>
      </c>
      <c r="O724" s="5" t="s">
        <v>32</v>
      </c>
      <c r="P724" s="5">
        <v>673</v>
      </c>
      <c r="Q724" s="5" t="s">
        <v>33</v>
      </c>
      <c r="R724" s="2">
        <v>659830.86</v>
      </c>
      <c r="S724" s="2">
        <v>168241.86</v>
      </c>
      <c r="T724" s="1">
        <v>45788</v>
      </c>
      <c r="U724" s="5">
        <v>5</v>
      </c>
    </row>
    <row r="725" spans="1:21" x14ac:dyDescent="0.3">
      <c r="A725" s="5" t="s">
        <v>786</v>
      </c>
      <c r="B725" s="1">
        <v>45797</v>
      </c>
      <c r="C725" s="5" t="s">
        <v>35</v>
      </c>
      <c r="D725" s="5" t="s">
        <v>28</v>
      </c>
      <c r="E725" s="5" t="s">
        <v>29</v>
      </c>
      <c r="F725" s="5" t="s">
        <v>73</v>
      </c>
      <c r="G725" s="5" t="s">
        <v>22</v>
      </c>
      <c r="H725" s="5" t="s">
        <v>23</v>
      </c>
      <c r="I725" s="5">
        <v>386</v>
      </c>
      <c r="J725" s="5">
        <v>3950</v>
      </c>
      <c r="K725" s="5">
        <v>5165.92</v>
      </c>
      <c r="L725" s="5">
        <v>1275</v>
      </c>
      <c r="M725" s="5">
        <v>224</v>
      </c>
      <c r="N725" s="5">
        <v>9</v>
      </c>
      <c r="O725" s="5" t="s">
        <v>24</v>
      </c>
      <c r="P725" s="5">
        <v>6580</v>
      </c>
      <c r="Q725" s="5" t="s">
        <v>40</v>
      </c>
      <c r="R725" s="2">
        <v>1994045.12</v>
      </c>
      <c r="S725" s="2">
        <v>469345.12</v>
      </c>
      <c r="T725" s="1">
        <v>45797</v>
      </c>
      <c r="U725" s="5">
        <v>5</v>
      </c>
    </row>
    <row r="726" spans="1:21" x14ac:dyDescent="0.3">
      <c r="A726" s="5" t="s">
        <v>787</v>
      </c>
      <c r="B726" s="1">
        <v>45975</v>
      </c>
      <c r="C726" s="5" t="s">
        <v>18</v>
      </c>
      <c r="D726" s="5" t="s">
        <v>62</v>
      </c>
      <c r="E726" s="5" t="s">
        <v>49</v>
      </c>
      <c r="F726" s="5" t="s">
        <v>50</v>
      </c>
      <c r="G726" s="5" t="s">
        <v>38</v>
      </c>
      <c r="H726" s="5" t="s">
        <v>23</v>
      </c>
      <c r="I726" s="5">
        <v>366</v>
      </c>
      <c r="J726" s="5">
        <v>2448</v>
      </c>
      <c r="K726" s="5">
        <v>2834.93</v>
      </c>
      <c r="L726" s="5">
        <v>1111</v>
      </c>
      <c r="M726" s="5">
        <v>131</v>
      </c>
      <c r="N726" s="5">
        <v>8</v>
      </c>
      <c r="O726" s="5" t="s">
        <v>24</v>
      </c>
      <c r="P726" s="5">
        <v>1397</v>
      </c>
      <c r="Q726" s="5" t="s">
        <v>25</v>
      </c>
      <c r="R726" s="2">
        <v>1037584.38</v>
      </c>
      <c r="S726" s="2">
        <v>141616.38</v>
      </c>
      <c r="T726" s="1">
        <v>45975</v>
      </c>
      <c r="U726" s="5">
        <v>11</v>
      </c>
    </row>
    <row r="727" spans="1:21" x14ac:dyDescent="0.3">
      <c r="A727" s="5" t="s">
        <v>788</v>
      </c>
      <c r="B727" s="1">
        <v>45821</v>
      </c>
      <c r="C727" s="5" t="s">
        <v>42</v>
      </c>
      <c r="D727" s="5" t="s">
        <v>53</v>
      </c>
      <c r="E727" s="5" t="s">
        <v>49</v>
      </c>
      <c r="F727" s="5" t="s">
        <v>65</v>
      </c>
      <c r="G727" s="5" t="s">
        <v>56</v>
      </c>
      <c r="H727" s="5" t="s">
        <v>23</v>
      </c>
      <c r="I727" s="5">
        <v>86</v>
      </c>
      <c r="J727" s="5">
        <v>4748</v>
      </c>
      <c r="K727" s="5">
        <v>6454.09</v>
      </c>
      <c r="L727" s="5">
        <v>1338</v>
      </c>
      <c r="M727" s="5">
        <v>291</v>
      </c>
      <c r="N727" s="5">
        <v>10</v>
      </c>
      <c r="O727" s="5" t="s">
        <v>24</v>
      </c>
      <c r="P727" s="5">
        <v>7703</v>
      </c>
      <c r="Q727" s="5" t="s">
        <v>33</v>
      </c>
      <c r="R727" s="2">
        <v>555051.74</v>
      </c>
      <c r="S727" s="2">
        <v>146723.74</v>
      </c>
      <c r="T727" s="1">
        <v>45821</v>
      </c>
      <c r="U727" s="5">
        <v>6</v>
      </c>
    </row>
    <row r="728" spans="1:21" x14ac:dyDescent="0.3">
      <c r="A728" s="5" t="s">
        <v>789</v>
      </c>
      <c r="B728" s="1">
        <v>45985</v>
      </c>
      <c r="C728" s="5" t="s">
        <v>18</v>
      </c>
      <c r="D728" s="5" t="s">
        <v>53</v>
      </c>
      <c r="E728" s="5" t="s">
        <v>20</v>
      </c>
      <c r="F728" s="5" t="s">
        <v>60</v>
      </c>
      <c r="G728" s="5" t="s">
        <v>38</v>
      </c>
      <c r="H728" s="5" t="s">
        <v>39</v>
      </c>
      <c r="I728" s="5">
        <v>16</v>
      </c>
      <c r="J728" s="5">
        <v>835</v>
      </c>
      <c r="K728" s="5">
        <v>1229.24</v>
      </c>
      <c r="L728" s="5">
        <v>1184</v>
      </c>
      <c r="M728" s="5">
        <v>170</v>
      </c>
      <c r="N728" s="5">
        <v>8</v>
      </c>
      <c r="O728" s="5" t="s">
        <v>24</v>
      </c>
      <c r="P728" s="5">
        <v>6002</v>
      </c>
      <c r="Q728" s="5" t="s">
        <v>25</v>
      </c>
      <c r="R728" s="2">
        <v>19667.84</v>
      </c>
      <c r="S728" s="2">
        <v>6307.84</v>
      </c>
      <c r="T728" s="1">
        <v>45985</v>
      </c>
      <c r="U728" s="5">
        <v>11</v>
      </c>
    </row>
    <row r="729" spans="1:21" x14ac:dyDescent="0.3">
      <c r="A729" s="5" t="s">
        <v>790</v>
      </c>
      <c r="B729" s="1">
        <v>45791</v>
      </c>
      <c r="C729" s="5" t="s">
        <v>35</v>
      </c>
      <c r="D729" s="5" t="s">
        <v>19</v>
      </c>
      <c r="E729" s="5" t="s">
        <v>54</v>
      </c>
      <c r="F729" s="5" t="s">
        <v>78</v>
      </c>
      <c r="G729" s="5" t="s">
        <v>38</v>
      </c>
      <c r="H729" s="5" t="s">
        <v>51</v>
      </c>
      <c r="I729" s="5">
        <v>231</v>
      </c>
      <c r="J729" s="5">
        <v>1813</v>
      </c>
      <c r="K729" s="5">
        <v>2310.71</v>
      </c>
      <c r="L729" s="5">
        <v>538</v>
      </c>
      <c r="M729" s="5">
        <v>139</v>
      </c>
      <c r="N729" s="5">
        <v>5</v>
      </c>
      <c r="O729" s="5" t="s">
        <v>32</v>
      </c>
      <c r="P729" s="5">
        <v>6922</v>
      </c>
      <c r="Q729" s="5" t="s">
        <v>33</v>
      </c>
      <c r="R729" s="2">
        <v>533774.01</v>
      </c>
      <c r="S729" s="2">
        <v>114971.01</v>
      </c>
      <c r="T729" s="1">
        <v>45791</v>
      </c>
      <c r="U729" s="5">
        <v>5</v>
      </c>
    </row>
    <row r="730" spans="1:21" x14ac:dyDescent="0.3">
      <c r="A730" s="5" t="s">
        <v>791</v>
      </c>
      <c r="B730" s="1">
        <v>45735</v>
      </c>
      <c r="C730" s="5" t="s">
        <v>27</v>
      </c>
      <c r="D730" s="5" t="s">
        <v>28</v>
      </c>
      <c r="E730" s="5" t="s">
        <v>49</v>
      </c>
      <c r="F730" s="5" t="s">
        <v>65</v>
      </c>
      <c r="G730" s="5" t="s">
        <v>56</v>
      </c>
      <c r="H730" s="5" t="s">
        <v>51</v>
      </c>
      <c r="I730" s="5">
        <v>170</v>
      </c>
      <c r="J730" s="5">
        <v>4478</v>
      </c>
      <c r="K730" s="5">
        <v>6081.23</v>
      </c>
      <c r="L730" s="5">
        <v>1844</v>
      </c>
      <c r="M730" s="5">
        <v>263</v>
      </c>
      <c r="N730" s="5">
        <v>9</v>
      </c>
      <c r="O730" s="5" t="s">
        <v>24</v>
      </c>
      <c r="P730" s="5">
        <v>1210</v>
      </c>
      <c r="Q730" s="5" t="s">
        <v>46</v>
      </c>
      <c r="R730" s="2">
        <v>1033809.1</v>
      </c>
      <c r="S730" s="2">
        <v>272549.09999999998</v>
      </c>
      <c r="T730" s="1">
        <v>45735</v>
      </c>
      <c r="U730" s="5">
        <v>3</v>
      </c>
    </row>
    <row r="731" spans="1:21" x14ac:dyDescent="0.3">
      <c r="A731" s="5" t="s">
        <v>792</v>
      </c>
      <c r="B731" s="1">
        <v>46016</v>
      </c>
      <c r="C731" s="5" t="s">
        <v>27</v>
      </c>
      <c r="D731" s="5" t="s">
        <v>36</v>
      </c>
      <c r="E731" s="5" t="s">
        <v>20</v>
      </c>
      <c r="F731" s="5" t="s">
        <v>60</v>
      </c>
      <c r="G731" s="5" t="s">
        <v>22</v>
      </c>
      <c r="H731" s="5" t="s">
        <v>39</v>
      </c>
      <c r="I731" s="5">
        <v>366</v>
      </c>
      <c r="J731" s="5">
        <v>1533</v>
      </c>
      <c r="K731" s="5">
        <v>1928.73</v>
      </c>
      <c r="L731" s="5">
        <v>306</v>
      </c>
      <c r="M731" s="5">
        <v>177</v>
      </c>
      <c r="N731" s="5">
        <v>2</v>
      </c>
      <c r="O731" s="5" t="s">
        <v>32</v>
      </c>
      <c r="P731" s="5">
        <v>5221</v>
      </c>
      <c r="Q731" s="5" t="s">
        <v>33</v>
      </c>
      <c r="R731" s="2">
        <v>705915.18</v>
      </c>
      <c r="S731" s="2">
        <v>144837.18</v>
      </c>
      <c r="T731" s="1">
        <v>46016</v>
      </c>
      <c r="U731" s="5">
        <v>12</v>
      </c>
    </row>
    <row r="732" spans="1:21" x14ac:dyDescent="0.3">
      <c r="A732" s="5" t="s">
        <v>793</v>
      </c>
      <c r="B732" s="1">
        <v>45735</v>
      </c>
      <c r="C732" s="5" t="s">
        <v>42</v>
      </c>
      <c r="D732" s="5" t="s">
        <v>28</v>
      </c>
      <c r="E732" s="5" t="s">
        <v>29</v>
      </c>
      <c r="F732" s="5" t="s">
        <v>73</v>
      </c>
      <c r="G732" s="5" t="s">
        <v>31</v>
      </c>
      <c r="H732" s="5" t="s">
        <v>23</v>
      </c>
      <c r="I732" s="5">
        <v>329</v>
      </c>
      <c r="J732" s="5">
        <v>4356</v>
      </c>
      <c r="K732" s="5">
        <v>6415.46</v>
      </c>
      <c r="L732" s="5">
        <v>1731</v>
      </c>
      <c r="M732" s="5">
        <v>140</v>
      </c>
      <c r="N732" s="5">
        <v>4</v>
      </c>
      <c r="O732" s="5" t="s">
        <v>32</v>
      </c>
      <c r="P732" s="5">
        <v>7932</v>
      </c>
      <c r="Q732" s="5" t="s">
        <v>33</v>
      </c>
      <c r="R732" s="2">
        <v>2110686.34</v>
      </c>
      <c r="S732" s="2">
        <v>677562.34</v>
      </c>
      <c r="T732" s="1">
        <v>45735</v>
      </c>
      <c r="U732" s="5">
        <v>3</v>
      </c>
    </row>
    <row r="733" spans="1:21" x14ac:dyDescent="0.3">
      <c r="A733" s="5" t="s">
        <v>794</v>
      </c>
      <c r="B733" s="1">
        <v>45672</v>
      </c>
      <c r="C733" s="5" t="s">
        <v>35</v>
      </c>
      <c r="D733" s="5" t="s">
        <v>53</v>
      </c>
      <c r="E733" s="5" t="s">
        <v>54</v>
      </c>
      <c r="F733" s="5" t="s">
        <v>87</v>
      </c>
      <c r="G733" s="5" t="s">
        <v>38</v>
      </c>
      <c r="H733" s="5" t="s">
        <v>23</v>
      </c>
      <c r="I733" s="5">
        <v>229</v>
      </c>
      <c r="J733" s="5">
        <v>4886</v>
      </c>
      <c r="K733" s="5">
        <v>6975.6</v>
      </c>
      <c r="L733" s="5">
        <v>1180</v>
      </c>
      <c r="M733" s="5">
        <v>231</v>
      </c>
      <c r="N733" s="5">
        <v>10</v>
      </c>
      <c r="O733" s="5" t="s">
        <v>24</v>
      </c>
      <c r="P733" s="5">
        <v>4914</v>
      </c>
      <c r="Q733" s="5" t="s">
        <v>25</v>
      </c>
      <c r="R733" s="2">
        <v>1597412.4</v>
      </c>
      <c r="S733" s="2">
        <v>478518.4</v>
      </c>
      <c r="T733" s="1">
        <v>45672</v>
      </c>
      <c r="U733" s="5">
        <v>1</v>
      </c>
    </row>
    <row r="734" spans="1:21" x14ac:dyDescent="0.3">
      <c r="A734" s="5" t="s">
        <v>795</v>
      </c>
      <c r="B734" s="1">
        <v>45683</v>
      </c>
      <c r="C734" s="5" t="s">
        <v>35</v>
      </c>
      <c r="D734" s="5" t="s">
        <v>28</v>
      </c>
      <c r="E734" s="5" t="s">
        <v>49</v>
      </c>
      <c r="F734" s="5" t="s">
        <v>94</v>
      </c>
      <c r="G734" s="5" t="s">
        <v>22</v>
      </c>
      <c r="H734" s="5" t="s">
        <v>23</v>
      </c>
      <c r="I734" s="5">
        <v>172</v>
      </c>
      <c r="J734" s="5">
        <v>508</v>
      </c>
      <c r="K734" s="5">
        <v>647.1</v>
      </c>
      <c r="L734" s="5">
        <v>1522</v>
      </c>
      <c r="M734" s="5">
        <v>268</v>
      </c>
      <c r="N734" s="5">
        <v>1</v>
      </c>
      <c r="O734" s="5" t="s">
        <v>32</v>
      </c>
      <c r="P734" s="5">
        <v>567</v>
      </c>
      <c r="Q734" s="5" t="s">
        <v>33</v>
      </c>
      <c r="R734" s="2">
        <v>111301.2</v>
      </c>
      <c r="S734" s="2">
        <v>23925.200000000001</v>
      </c>
      <c r="T734" s="1">
        <v>45683</v>
      </c>
      <c r="U734" s="5">
        <v>1</v>
      </c>
    </row>
    <row r="735" spans="1:21" x14ac:dyDescent="0.3">
      <c r="A735" s="5" t="s">
        <v>796</v>
      </c>
      <c r="B735" s="1">
        <v>45960</v>
      </c>
      <c r="C735" s="5" t="s">
        <v>27</v>
      </c>
      <c r="D735" s="5" t="s">
        <v>19</v>
      </c>
      <c r="E735" s="5" t="s">
        <v>49</v>
      </c>
      <c r="F735" s="5" t="s">
        <v>65</v>
      </c>
      <c r="G735" s="5" t="s">
        <v>22</v>
      </c>
      <c r="H735" s="5" t="s">
        <v>51</v>
      </c>
      <c r="I735" s="5">
        <v>471</v>
      </c>
      <c r="J735" s="5">
        <v>2067</v>
      </c>
      <c r="K735" s="5">
        <v>2963.85</v>
      </c>
      <c r="L735" s="5">
        <v>957</v>
      </c>
      <c r="M735" s="5">
        <v>89</v>
      </c>
      <c r="N735" s="5">
        <v>9</v>
      </c>
      <c r="O735" s="5" t="s">
        <v>24</v>
      </c>
      <c r="P735" s="5">
        <v>3254</v>
      </c>
      <c r="Q735" s="5" t="s">
        <v>40</v>
      </c>
      <c r="R735" s="2">
        <v>1395973.35</v>
      </c>
      <c r="S735" s="2">
        <v>422416.35</v>
      </c>
      <c r="T735" s="1">
        <v>45960</v>
      </c>
      <c r="U735" s="5">
        <v>10</v>
      </c>
    </row>
    <row r="736" spans="1:21" x14ac:dyDescent="0.3">
      <c r="A736" s="5" t="s">
        <v>797</v>
      </c>
      <c r="B736" s="1">
        <v>45966</v>
      </c>
      <c r="C736" s="5" t="s">
        <v>35</v>
      </c>
      <c r="D736" s="5" t="s">
        <v>19</v>
      </c>
      <c r="E736" s="5" t="s">
        <v>54</v>
      </c>
      <c r="F736" s="5" t="s">
        <v>78</v>
      </c>
      <c r="G736" s="5" t="s">
        <v>56</v>
      </c>
      <c r="H736" s="5" t="s">
        <v>51</v>
      </c>
      <c r="I736" s="5">
        <v>429</v>
      </c>
      <c r="J736" s="5">
        <v>3661</v>
      </c>
      <c r="K736" s="5">
        <v>4870.71</v>
      </c>
      <c r="L736" s="5">
        <v>1413</v>
      </c>
      <c r="M736" s="5">
        <v>99</v>
      </c>
      <c r="N736" s="5">
        <v>5</v>
      </c>
      <c r="O736" s="5" t="s">
        <v>32</v>
      </c>
      <c r="P736" s="5">
        <v>356</v>
      </c>
      <c r="Q736" s="5" t="s">
        <v>33</v>
      </c>
      <c r="R736" s="2">
        <v>2089534.59</v>
      </c>
      <c r="S736" s="2">
        <v>518965.59</v>
      </c>
      <c r="T736" s="1">
        <v>45966</v>
      </c>
      <c r="U736" s="5">
        <v>11</v>
      </c>
    </row>
    <row r="737" spans="1:21" x14ac:dyDescent="0.3">
      <c r="A737" s="5" t="s">
        <v>798</v>
      </c>
      <c r="B737" s="1">
        <v>45961</v>
      </c>
      <c r="C737" s="5" t="s">
        <v>18</v>
      </c>
      <c r="D737" s="5" t="s">
        <v>53</v>
      </c>
      <c r="E737" s="5" t="s">
        <v>29</v>
      </c>
      <c r="F737" s="5" t="s">
        <v>69</v>
      </c>
      <c r="G737" s="5" t="s">
        <v>38</v>
      </c>
      <c r="H737" s="5" t="s">
        <v>51</v>
      </c>
      <c r="I737" s="5">
        <v>171</v>
      </c>
      <c r="J737" s="5">
        <v>237</v>
      </c>
      <c r="K737" s="5">
        <v>312.06</v>
      </c>
      <c r="L737" s="5">
        <v>1142</v>
      </c>
      <c r="M737" s="5">
        <v>101</v>
      </c>
      <c r="N737" s="5">
        <v>1</v>
      </c>
      <c r="O737" s="5" t="s">
        <v>32</v>
      </c>
      <c r="P737" s="5">
        <v>3836</v>
      </c>
      <c r="Q737" s="5" t="s">
        <v>25</v>
      </c>
      <c r="R737" s="2">
        <v>53362.26</v>
      </c>
      <c r="S737" s="2">
        <v>12835.26</v>
      </c>
      <c r="T737" s="1">
        <v>45961</v>
      </c>
      <c r="U737" s="5">
        <v>10</v>
      </c>
    </row>
    <row r="738" spans="1:21" x14ac:dyDescent="0.3">
      <c r="A738" s="5" t="s">
        <v>799</v>
      </c>
      <c r="B738" s="1">
        <v>45994</v>
      </c>
      <c r="C738" s="5" t="s">
        <v>27</v>
      </c>
      <c r="D738" s="5" t="s">
        <v>19</v>
      </c>
      <c r="E738" s="5" t="s">
        <v>54</v>
      </c>
      <c r="F738" s="5" t="s">
        <v>55</v>
      </c>
      <c r="G738" s="5" t="s">
        <v>56</v>
      </c>
      <c r="H738" s="5" t="s">
        <v>51</v>
      </c>
      <c r="I738" s="5">
        <v>237</v>
      </c>
      <c r="J738" s="5">
        <v>119</v>
      </c>
      <c r="K738" s="5">
        <v>170.12</v>
      </c>
      <c r="L738" s="5">
        <v>1676</v>
      </c>
      <c r="M738" s="5">
        <v>289</v>
      </c>
      <c r="N738" s="5">
        <v>5</v>
      </c>
      <c r="O738" s="5" t="s">
        <v>32</v>
      </c>
      <c r="P738" s="5">
        <v>5229</v>
      </c>
      <c r="Q738" s="5" t="s">
        <v>33</v>
      </c>
      <c r="R738" s="2">
        <v>40318.44</v>
      </c>
      <c r="S738" s="2">
        <v>12115.44</v>
      </c>
      <c r="T738" s="1">
        <v>45994</v>
      </c>
      <c r="U738" s="5">
        <v>12</v>
      </c>
    </row>
    <row r="739" spans="1:21" x14ac:dyDescent="0.3">
      <c r="A739" s="5" t="s">
        <v>800</v>
      </c>
      <c r="B739" s="1">
        <v>45839</v>
      </c>
      <c r="C739" s="5" t="s">
        <v>18</v>
      </c>
      <c r="D739" s="5" t="s">
        <v>36</v>
      </c>
      <c r="E739" s="5" t="s">
        <v>54</v>
      </c>
      <c r="F739" s="5" t="s">
        <v>81</v>
      </c>
      <c r="G739" s="5" t="s">
        <v>31</v>
      </c>
      <c r="H739" s="5" t="s">
        <v>51</v>
      </c>
      <c r="I739" s="5">
        <v>487</v>
      </c>
      <c r="J739" s="5">
        <v>3862</v>
      </c>
      <c r="K739" s="5">
        <v>5278.69</v>
      </c>
      <c r="L739" s="5">
        <v>937</v>
      </c>
      <c r="M739" s="5">
        <v>137</v>
      </c>
      <c r="N739" s="5">
        <v>6</v>
      </c>
      <c r="O739" s="5" t="s">
        <v>24</v>
      </c>
      <c r="P739" s="5">
        <v>2766</v>
      </c>
      <c r="Q739" s="5" t="s">
        <v>40</v>
      </c>
      <c r="R739" s="2">
        <v>2570722.0299999998</v>
      </c>
      <c r="S739" s="2">
        <v>689928.03</v>
      </c>
      <c r="T739" s="1">
        <v>45839</v>
      </c>
      <c r="U739" s="5">
        <v>7</v>
      </c>
    </row>
    <row r="740" spans="1:21" x14ac:dyDescent="0.3">
      <c r="A740" s="5" t="s">
        <v>801</v>
      </c>
      <c r="B740" s="1">
        <v>45717</v>
      </c>
      <c r="C740" s="5" t="s">
        <v>27</v>
      </c>
      <c r="D740" s="5" t="s">
        <v>53</v>
      </c>
      <c r="E740" s="5" t="s">
        <v>49</v>
      </c>
      <c r="F740" s="5" t="s">
        <v>65</v>
      </c>
      <c r="G740" s="5" t="s">
        <v>22</v>
      </c>
      <c r="H740" s="5" t="s">
        <v>23</v>
      </c>
      <c r="I740" s="5">
        <v>449</v>
      </c>
      <c r="J740" s="5">
        <v>1955</v>
      </c>
      <c r="K740" s="5">
        <v>2758.11</v>
      </c>
      <c r="L740" s="5">
        <v>1472</v>
      </c>
      <c r="M740" s="5">
        <v>113</v>
      </c>
      <c r="N740" s="5">
        <v>1</v>
      </c>
      <c r="O740" s="5" t="s">
        <v>32</v>
      </c>
      <c r="P740" s="5">
        <v>1476</v>
      </c>
      <c r="Q740" s="5" t="s">
        <v>33</v>
      </c>
      <c r="R740" s="2">
        <v>1238391.3899999999</v>
      </c>
      <c r="S740" s="2">
        <v>360596.39</v>
      </c>
      <c r="T740" s="1">
        <v>45717</v>
      </c>
      <c r="U740" s="5">
        <v>3</v>
      </c>
    </row>
    <row r="741" spans="1:21" x14ac:dyDescent="0.3">
      <c r="A741" s="5" t="s">
        <v>802</v>
      </c>
      <c r="B741" s="1">
        <v>45695</v>
      </c>
      <c r="C741" s="5" t="s">
        <v>35</v>
      </c>
      <c r="D741" s="5" t="s">
        <v>62</v>
      </c>
      <c r="E741" s="5" t="s">
        <v>20</v>
      </c>
      <c r="F741" s="5" t="s">
        <v>45</v>
      </c>
      <c r="G741" s="5" t="s">
        <v>31</v>
      </c>
      <c r="H741" s="5" t="s">
        <v>39</v>
      </c>
      <c r="I741" s="5">
        <v>184</v>
      </c>
      <c r="J741" s="5">
        <v>1378</v>
      </c>
      <c r="K741" s="5">
        <v>1886.68</v>
      </c>
      <c r="L741" s="5">
        <v>801</v>
      </c>
      <c r="M741" s="5">
        <v>283</v>
      </c>
      <c r="N741" s="5">
        <v>2</v>
      </c>
      <c r="O741" s="5" t="s">
        <v>32</v>
      </c>
      <c r="P741" s="5">
        <v>3039</v>
      </c>
      <c r="Q741" s="5" t="s">
        <v>33</v>
      </c>
      <c r="R741" s="2">
        <v>347149.12</v>
      </c>
      <c r="S741" s="2">
        <v>93597.119999999995</v>
      </c>
      <c r="T741" s="1">
        <v>45695</v>
      </c>
      <c r="U741" s="5">
        <v>2</v>
      </c>
    </row>
    <row r="742" spans="1:21" x14ac:dyDescent="0.3">
      <c r="A742" s="5" t="s">
        <v>803</v>
      </c>
      <c r="B742" s="1">
        <v>45824</v>
      </c>
      <c r="C742" s="5" t="s">
        <v>27</v>
      </c>
      <c r="D742" s="5" t="s">
        <v>62</v>
      </c>
      <c r="E742" s="5" t="s">
        <v>49</v>
      </c>
      <c r="F742" s="5" t="s">
        <v>65</v>
      </c>
      <c r="G742" s="5" t="s">
        <v>38</v>
      </c>
      <c r="H742" s="5" t="s">
        <v>39</v>
      </c>
      <c r="I742" s="5">
        <v>243</v>
      </c>
      <c r="J742" s="5">
        <v>2453</v>
      </c>
      <c r="K742" s="5">
        <v>3560.62</v>
      </c>
      <c r="L742" s="5">
        <v>1244</v>
      </c>
      <c r="M742" s="5">
        <v>300</v>
      </c>
      <c r="N742" s="5">
        <v>2</v>
      </c>
      <c r="O742" s="5" t="s">
        <v>32</v>
      </c>
      <c r="P742" s="5">
        <v>3762</v>
      </c>
      <c r="Q742" s="5" t="s">
        <v>33</v>
      </c>
      <c r="R742" s="2">
        <v>865230.66</v>
      </c>
      <c r="S742" s="2">
        <v>269151.65999999997</v>
      </c>
      <c r="T742" s="1">
        <v>45824</v>
      </c>
      <c r="U742" s="5">
        <v>6</v>
      </c>
    </row>
    <row r="743" spans="1:21" x14ac:dyDescent="0.3">
      <c r="A743" s="5" t="s">
        <v>804</v>
      </c>
      <c r="B743" s="1">
        <v>45868</v>
      </c>
      <c r="C743" s="5" t="s">
        <v>42</v>
      </c>
      <c r="D743" s="5" t="s">
        <v>36</v>
      </c>
      <c r="E743" s="5" t="s">
        <v>29</v>
      </c>
      <c r="F743" s="5" t="s">
        <v>69</v>
      </c>
      <c r="G743" s="5" t="s">
        <v>31</v>
      </c>
      <c r="H743" s="5" t="s">
        <v>39</v>
      </c>
      <c r="I743" s="5">
        <v>387</v>
      </c>
      <c r="J743" s="5">
        <v>1037</v>
      </c>
      <c r="K743" s="5">
        <v>1197.33</v>
      </c>
      <c r="L743" s="5">
        <v>442</v>
      </c>
      <c r="M743" s="5">
        <v>179</v>
      </c>
      <c r="N743" s="5">
        <v>1</v>
      </c>
      <c r="O743" s="5" t="s">
        <v>32</v>
      </c>
      <c r="P743" s="5">
        <v>3234</v>
      </c>
      <c r="Q743" s="5" t="s">
        <v>33</v>
      </c>
      <c r="R743" s="2">
        <v>463366.71</v>
      </c>
      <c r="S743" s="2">
        <v>62047.71</v>
      </c>
      <c r="T743" s="1">
        <v>45868</v>
      </c>
      <c r="U743" s="5">
        <v>7</v>
      </c>
    </row>
    <row r="744" spans="1:21" x14ac:dyDescent="0.3">
      <c r="A744" s="5" t="s">
        <v>805</v>
      </c>
      <c r="B744" s="1">
        <v>46006</v>
      </c>
      <c r="C744" s="5" t="s">
        <v>42</v>
      </c>
      <c r="D744" s="5" t="s">
        <v>36</v>
      </c>
      <c r="E744" s="5" t="s">
        <v>29</v>
      </c>
      <c r="F744" s="5" t="s">
        <v>69</v>
      </c>
      <c r="G744" s="5" t="s">
        <v>56</v>
      </c>
      <c r="H744" s="5" t="s">
        <v>39</v>
      </c>
      <c r="I744" s="5">
        <v>287</v>
      </c>
      <c r="J744" s="5">
        <v>3093</v>
      </c>
      <c r="K744" s="5">
        <v>4574.13</v>
      </c>
      <c r="L744" s="5">
        <v>1355</v>
      </c>
      <c r="M744" s="5">
        <v>236</v>
      </c>
      <c r="N744" s="5">
        <v>6</v>
      </c>
      <c r="O744" s="5" t="s">
        <v>24</v>
      </c>
      <c r="P744" s="5">
        <v>2504</v>
      </c>
      <c r="Q744" s="5" t="s">
        <v>40</v>
      </c>
      <c r="R744" s="2">
        <v>1312775.31</v>
      </c>
      <c r="S744" s="2">
        <v>425084.31</v>
      </c>
      <c r="T744" s="1">
        <v>46006</v>
      </c>
      <c r="U744" s="5">
        <v>12</v>
      </c>
    </row>
    <row r="745" spans="1:21" x14ac:dyDescent="0.3">
      <c r="A745" s="5" t="s">
        <v>806</v>
      </c>
      <c r="B745" s="1">
        <v>45800</v>
      </c>
      <c r="C745" s="5" t="s">
        <v>35</v>
      </c>
      <c r="D745" s="5" t="s">
        <v>36</v>
      </c>
      <c r="E745" s="5" t="s">
        <v>29</v>
      </c>
      <c r="F745" s="5" t="s">
        <v>30</v>
      </c>
      <c r="G745" s="5" t="s">
        <v>31</v>
      </c>
      <c r="H745" s="5" t="s">
        <v>39</v>
      </c>
      <c r="I745" s="5">
        <v>13</v>
      </c>
      <c r="J745" s="5">
        <v>1348</v>
      </c>
      <c r="K745" s="5">
        <v>2002.32</v>
      </c>
      <c r="L745" s="5">
        <v>494</v>
      </c>
      <c r="M745" s="5">
        <v>291</v>
      </c>
      <c r="N745" s="5">
        <v>4</v>
      </c>
      <c r="O745" s="5" t="s">
        <v>32</v>
      </c>
      <c r="P745" s="5">
        <v>3825</v>
      </c>
      <c r="Q745" s="5" t="s">
        <v>33</v>
      </c>
      <c r="R745" s="2">
        <v>26030.16</v>
      </c>
      <c r="S745" s="2">
        <v>8506.16</v>
      </c>
      <c r="T745" s="1">
        <v>45800</v>
      </c>
      <c r="U745" s="5">
        <v>5</v>
      </c>
    </row>
    <row r="746" spans="1:21" x14ac:dyDescent="0.3">
      <c r="A746" s="5" t="s">
        <v>807</v>
      </c>
      <c r="B746" s="1">
        <v>45741</v>
      </c>
      <c r="C746" s="5" t="s">
        <v>35</v>
      </c>
      <c r="D746" s="5" t="s">
        <v>36</v>
      </c>
      <c r="E746" s="5" t="s">
        <v>29</v>
      </c>
      <c r="F746" s="5" t="s">
        <v>43</v>
      </c>
      <c r="G746" s="5" t="s">
        <v>56</v>
      </c>
      <c r="H746" s="5" t="s">
        <v>51</v>
      </c>
      <c r="I746" s="5">
        <v>379</v>
      </c>
      <c r="J746" s="5">
        <v>1546</v>
      </c>
      <c r="K746" s="5">
        <v>2220.2800000000002</v>
      </c>
      <c r="L746" s="5">
        <v>1476</v>
      </c>
      <c r="M746" s="5">
        <v>294</v>
      </c>
      <c r="N746" s="5">
        <v>6</v>
      </c>
      <c r="O746" s="5" t="s">
        <v>24</v>
      </c>
      <c r="P746" s="5">
        <v>1450</v>
      </c>
      <c r="Q746" s="5" t="s">
        <v>25</v>
      </c>
      <c r="R746" s="2">
        <v>841486.12</v>
      </c>
      <c r="S746" s="2">
        <v>255552.12</v>
      </c>
      <c r="T746" s="1">
        <v>45741</v>
      </c>
      <c r="U746" s="5">
        <v>3</v>
      </c>
    </row>
    <row r="747" spans="1:21" x14ac:dyDescent="0.3">
      <c r="A747" s="5" t="s">
        <v>808</v>
      </c>
      <c r="B747" s="1">
        <v>45927</v>
      </c>
      <c r="C747" s="5" t="s">
        <v>35</v>
      </c>
      <c r="D747" s="5" t="s">
        <v>62</v>
      </c>
      <c r="E747" s="5" t="s">
        <v>20</v>
      </c>
      <c r="F747" s="5" t="s">
        <v>100</v>
      </c>
      <c r="G747" s="5" t="s">
        <v>22</v>
      </c>
      <c r="H747" s="5" t="s">
        <v>39</v>
      </c>
      <c r="I747" s="5">
        <v>158</v>
      </c>
      <c r="J747" s="5">
        <v>2393</v>
      </c>
      <c r="K747" s="5">
        <v>3380.08</v>
      </c>
      <c r="L747" s="5">
        <v>1890</v>
      </c>
      <c r="M747" s="5">
        <v>106</v>
      </c>
      <c r="N747" s="5">
        <v>5</v>
      </c>
      <c r="O747" s="5" t="s">
        <v>32</v>
      </c>
      <c r="P747" s="5">
        <v>7439</v>
      </c>
      <c r="Q747" s="5" t="s">
        <v>33</v>
      </c>
      <c r="R747" s="2">
        <v>534052.64</v>
      </c>
      <c r="S747" s="2">
        <v>155958.64000000001</v>
      </c>
      <c r="T747" s="1">
        <v>45927</v>
      </c>
      <c r="U747" s="5">
        <v>9</v>
      </c>
    </row>
    <row r="748" spans="1:21" x14ac:dyDescent="0.3">
      <c r="A748" s="5" t="s">
        <v>809</v>
      </c>
      <c r="B748" s="1">
        <v>45994</v>
      </c>
      <c r="C748" s="5" t="s">
        <v>42</v>
      </c>
      <c r="D748" s="5" t="s">
        <v>19</v>
      </c>
      <c r="E748" s="5" t="s">
        <v>29</v>
      </c>
      <c r="F748" s="5" t="s">
        <v>58</v>
      </c>
      <c r="G748" s="5" t="s">
        <v>22</v>
      </c>
      <c r="H748" s="5" t="s">
        <v>39</v>
      </c>
      <c r="I748" s="5">
        <v>85</v>
      </c>
      <c r="J748" s="5">
        <v>800</v>
      </c>
      <c r="K748" s="5">
        <v>966.74</v>
      </c>
      <c r="L748" s="5">
        <v>643</v>
      </c>
      <c r="M748" s="5">
        <v>211</v>
      </c>
      <c r="N748" s="5">
        <v>2</v>
      </c>
      <c r="O748" s="5" t="s">
        <v>32</v>
      </c>
      <c r="P748" s="5">
        <v>748</v>
      </c>
      <c r="Q748" s="5" t="s">
        <v>33</v>
      </c>
      <c r="R748" s="2">
        <v>82172.899999999994</v>
      </c>
      <c r="S748" s="2">
        <v>14172.9</v>
      </c>
      <c r="T748" s="1">
        <v>45994</v>
      </c>
      <c r="U748" s="5">
        <v>12</v>
      </c>
    </row>
    <row r="749" spans="1:21" x14ac:dyDescent="0.3">
      <c r="A749" s="5" t="s">
        <v>810</v>
      </c>
      <c r="B749" s="1">
        <v>45936</v>
      </c>
      <c r="C749" s="5" t="s">
        <v>27</v>
      </c>
      <c r="D749" s="5" t="s">
        <v>28</v>
      </c>
      <c r="E749" s="5" t="s">
        <v>54</v>
      </c>
      <c r="F749" s="5" t="s">
        <v>55</v>
      </c>
      <c r="G749" s="5" t="s">
        <v>22</v>
      </c>
      <c r="H749" s="5" t="s">
        <v>23</v>
      </c>
      <c r="I749" s="5">
        <v>99</v>
      </c>
      <c r="J749" s="5">
        <v>211</v>
      </c>
      <c r="K749" s="5">
        <v>276.22000000000003</v>
      </c>
      <c r="L749" s="5">
        <v>385</v>
      </c>
      <c r="M749" s="5">
        <v>139</v>
      </c>
      <c r="N749" s="5">
        <v>6</v>
      </c>
      <c r="O749" s="5" t="s">
        <v>24</v>
      </c>
      <c r="P749" s="5">
        <v>5578</v>
      </c>
      <c r="Q749" s="5" t="s">
        <v>40</v>
      </c>
      <c r="R749" s="2">
        <v>27345.78</v>
      </c>
      <c r="S749" s="2">
        <v>6456.78</v>
      </c>
      <c r="T749" s="1">
        <v>45936</v>
      </c>
      <c r="U749" s="5">
        <v>10</v>
      </c>
    </row>
    <row r="750" spans="1:21" x14ac:dyDescent="0.3">
      <c r="A750" s="5" t="s">
        <v>811</v>
      </c>
      <c r="B750" s="1">
        <v>46012</v>
      </c>
      <c r="C750" s="5" t="s">
        <v>42</v>
      </c>
      <c r="D750" s="5" t="s">
        <v>53</v>
      </c>
      <c r="E750" s="5" t="s">
        <v>20</v>
      </c>
      <c r="F750" s="5" t="s">
        <v>21</v>
      </c>
      <c r="G750" s="5" t="s">
        <v>31</v>
      </c>
      <c r="H750" s="5" t="s">
        <v>23</v>
      </c>
      <c r="I750" s="5">
        <v>422</v>
      </c>
      <c r="J750" s="5">
        <v>4130</v>
      </c>
      <c r="K750" s="5">
        <v>4772.04</v>
      </c>
      <c r="L750" s="5">
        <v>1312</v>
      </c>
      <c r="M750" s="5">
        <v>109</v>
      </c>
      <c r="N750" s="5">
        <v>5</v>
      </c>
      <c r="O750" s="5" t="s">
        <v>32</v>
      </c>
      <c r="P750" s="5">
        <v>6215</v>
      </c>
      <c r="Q750" s="5" t="s">
        <v>33</v>
      </c>
      <c r="R750" s="2">
        <v>2013800.88</v>
      </c>
      <c r="S750" s="2">
        <v>270940.88</v>
      </c>
      <c r="T750" s="1">
        <v>46012</v>
      </c>
      <c r="U750" s="5">
        <v>12</v>
      </c>
    </row>
    <row r="751" spans="1:21" x14ac:dyDescent="0.3">
      <c r="A751" s="5" t="s">
        <v>812</v>
      </c>
      <c r="B751" s="1">
        <v>45786</v>
      </c>
      <c r="C751" s="5" t="s">
        <v>42</v>
      </c>
      <c r="D751" s="5" t="s">
        <v>36</v>
      </c>
      <c r="E751" s="5" t="s">
        <v>29</v>
      </c>
      <c r="F751" s="5" t="s">
        <v>30</v>
      </c>
      <c r="G751" s="5" t="s">
        <v>56</v>
      </c>
      <c r="H751" s="5" t="s">
        <v>39</v>
      </c>
      <c r="I751" s="5">
        <v>236</v>
      </c>
      <c r="J751" s="5">
        <v>406</v>
      </c>
      <c r="K751" s="5">
        <v>528.80999999999995</v>
      </c>
      <c r="L751" s="5">
        <v>1462</v>
      </c>
      <c r="M751" s="5">
        <v>244</v>
      </c>
      <c r="N751" s="5">
        <v>1</v>
      </c>
      <c r="O751" s="5" t="s">
        <v>32</v>
      </c>
      <c r="P751" s="5">
        <v>4041</v>
      </c>
      <c r="Q751" s="5" t="s">
        <v>33</v>
      </c>
      <c r="R751" s="2">
        <v>124799.16</v>
      </c>
      <c r="S751" s="2">
        <v>28983.16</v>
      </c>
      <c r="T751" s="1">
        <v>45786</v>
      </c>
      <c r="U751" s="5">
        <v>5</v>
      </c>
    </row>
    <row r="752" spans="1:21" x14ac:dyDescent="0.3">
      <c r="A752" s="5" t="s">
        <v>813</v>
      </c>
      <c r="B752" s="1">
        <v>45694</v>
      </c>
      <c r="C752" s="5" t="s">
        <v>42</v>
      </c>
      <c r="D752" s="5" t="s">
        <v>19</v>
      </c>
      <c r="E752" s="5" t="s">
        <v>20</v>
      </c>
      <c r="F752" s="5" t="s">
        <v>21</v>
      </c>
      <c r="G752" s="5" t="s">
        <v>38</v>
      </c>
      <c r="H752" s="5" t="s">
        <v>51</v>
      </c>
      <c r="I752" s="5">
        <v>104</v>
      </c>
      <c r="J752" s="5">
        <v>3112</v>
      </c>
      <c r="K752" s="5">
        <v>3735.93</v>
      </c>
      <c r="L752" s="5">
        <v>602</v>
      </c>
      <c r="M752" s="5">
        <v>139</v>
      </c>
      <c r="N752" s="5">
        <v>7</v>
      </c>
      <c r="O752" s="5" t="s">
        <v>24</v>
      </c>
      <c r="P752" s="5">
        <v>1422</v>
      </c>
      <c r="Q752" s="5" t="s">
        <v>33</v>
      </c>
      <c r="R752" s="2">
        <v>388536.72</v>
      </c>
      <c r="S752" s="2">
        <v>64888.72</v>
      </c>
      <c r="T752" s="1">
        <v>45694</v>
      </c>
      <c r="U752" s="5">
        <v>2</v>
      </c>
    </row>
    <row r="753" spans="1:21" x14ac:dyDescent="0.3">
      <c r="A753" s="5" t="s">
        <v>814</v>
      </c>
      <c r="B753" s="1">
        <v>46022</v>
      </c>
      <c r="C753" s="5" t="s">
        <v>27</v>
      </c>
      <c r="D753" s="5" t="s">
        <v>36</v>
      </c>
      <c r="E753" s="5" t="s">
        <v>54</v>
      </c>
      <c r="F753" s="5" t="s">
        <v>81</v>
      </c>
      <c r="G753" s="5" t="s">
        <v>22</v>
      </c>
      <c r="H753" s="5" t="s">
        <v>51</v>
      </c>
      <c r="I753" s="5">
        <v>320</v>
      </c>
      <c r="J753" s="5">
        <v>3400</v>
      </c>
      <c r="K753" s="5">
        <v>4615.79</v>
      </c>
      <c r="L753" s="5">
        <v>246</v>
      </c>
      <c r="M753" s="5">
        <v>203</v>
      </c>
      <c r="N753" s="5">
        <v>3</v>
      </c>
      <c r="O753" s="5" t="s">
        <v>24</v>
      </c>
      <c r="P753" s="5">
        <v>5262</v>
      </c>
      <c r="Q753" s="5" t="s">
        <v>46</v>
      </c>
      <c r="R753" s="2">
        <v>1477052.8</v>
      </c>
      <c r="S753" s="2">
        <v>389052.8</v>
      </c>
      <c r="T753" s="1">
        <v>46022</v>
      </c>
      <c r="U753" s="5">
        <v>12</v>
      </c>
    </row>
    <row r="754" spans="1:21" x14ac:dyDescent="0.3">
      <c r="A754" s="5" t="s">
        <v>815</v>
      </c>
      <c r="B754" s="1">
        <v>45778</v>
      </c>
      <c r="C754" s="5" t="s">
        <v>42</v>
      </c>
      <c r="D754" s="5" t="s">
        <v>53</v>
      </c>
      <c r="E754" s="5" t="s">
        <v>54</v>
      </c>
      <c r="F754" s="5" t="s">
        <v>81</v>
      </c>
      <c r="G754" s="5" t="s">
        <v>22</v>
      </c>
      <c r="H754" s="5" t="s">
        <v>51</v>
      </c>
      <c r="I754" s="5">
        <v>230</v>
      </c>
      <c r="J754" s="5">
        <v>4587</v>
      </c>
      <c r="K754" s="5">
        <v>6089.31</v>
      </c>
      <c r="L754" s="5">
        <v>259</v>
      </c>
      <c r="M754" s="5">
        <v>92</v>
      </c>
      <c r="N754" s="5">
        <v>5</v>
      </c>
      <c r="O754" s="5" t="s">
        <v>32</v>
      </c>
      <c r="P754" s="5">
        <v>6844</v>
      </c>
      <c r="Q754" s="5" t="s">
        <v>33</v>
      </c>
      <c r="R754" s="2">
        <v>1400541.3</v>
      </c>
      <c r="S754" s="2">
        <v>345531.3</v>
      </c>
      <c r="T754" s="1">
        <v>45778</v>
      </c>
      <c r="U754" s="5">
        <v>5</v>
      </c>
    </row>
    <row r="755" spans="1:21" x14ac:dyDescent="0.3">
      <c r="A755" s="5" t="s">
        <v>816</v>
      </c>
      <c r="B755" s="1">
        <v>46015</v>
      </c>
      <c r="C755" s="5" t="s">
        <v>35</v>
      </c>
      <c r="D755" s="5" t="s">
        <v>36</v>
      </c>
      <c r="E755" s="5" t="s">
        <v>20</v>
      </c>
      <c r="F755" s="5" t="s">
        <v>45</v>
      </c>
      <c r="G755" s="5" t="s">
        <v>56</v>
      </c>
      <c r="H755" s="5" t="s">
        <v>39</v>
      </c>
      <c r="I755" s="5">
        <v>371</v>
      </c>
      <c r="J755" s="5">
        <v>2556</v>
      </c>
      <c r="K755" s="5">
        <v>3636</v>
      </c>
      <c r="L755" s="5">
        <v>1170</v>
      </c>
      <c r="M755" s="5">
        <v>92</v>
      </c>
      <c r="N755" s="5">
        <v>2</v>
      </c>
      <c r="O755" s="5" t="s">
        <v>32</v>
      </c>
      <c r="P755" s="5">
        <v>4999</v>
      </c>
      <c r="Q755" s="5" t="s">
        <v>33</v>
      </c>
      <c r="R755" s="2">
        <v>1348956</v>
      </c>
      <c r="S755" s="2">
        <v>400680</v>
      </c>
      <c r="T755" s="1">
        <v>46015</v>
      </c>
      <c r="U755" s="5">
        <v>12</v>
      </c>
    </row>
    <row r="756" spans="1:21" x14ac:dyDescent="0.3">
      <c r="A756" s="5" t="s">
        <v>817</v>
      </c>
      <c r="B756" s="1">
        <v>45663</v>
      </c>
      <c r="C756" s="5" t="s">
        <v>27</v>
      </c>
      <c r="D756" s="5" t="s">
        <v>53</v>
      </c>
      <c r="E756" s="5" t="s">
        <v>20</v>
      </c>
      <c r="F756" s="5" t="s">
        <v>45</v>
      </c>
      <c r="G756" s="5" t="s">
        <v>56</v>
      </c>
      <c r="H756" s="5" t="s">
        <v>23</v>
      </c>
      <c r="I756" s="5">
        <v>49</v>
      </c>
      <c r="J756" s="5">
        <v>2741</v>
      </c>
      <c r="K756" s="5">
        <v>3981.22</v>
      </c>
      <c r="L756" s="5">
        <v>393</v>
      </c>
      <c r="M756" s="5">
        <v>90</v>
      </c>
      <c r="N756" s="5">
        <v>4</v>
      </c>
      <c r="O756" s="5" t="s">
        <v>32</v>
      </c>
      <c r="P756" s="5">
        <v>4210</v>
      </c>
      <c r="Q756" s="5" t="s">
        <v>33</v>
      </c>
      <c r="R756" s="2">
        <v>195079.78</v>
      </c>
      <c r="S756" s="2">
        <v>60770.78</v>
      </c>
      <c r="T756" s="1">
        <v>45663</v>
      </c>
      <c r="U756" s="5">
        <v>1</v>
      </c>
    </row>
    <row r="757" spans="1:21" x14ac:dyDescent="0.3">
      <c r="A757" s="5" t="s">
        <v>818</v>
      </c>
      <c r="B757" s="1">
        <v>45996</v>
      </c>
      <c r="C757" s="5" t="s">
        <v>18</v>
      </c>
      <c r="D757" s="5" t="s">
        <v>28</v>
      </c>
      <c r="E757" s="5" t="s">
        <v>20</v>
      </c>
      <c r="F757" s="5" t="s">
        <v>100</v>
      </c>
      <c r="G757" s="5" t="s">
        <v>38</v>
      </c>
      <c r="H757" s="5" t="s">
        <v>39</v>
      </c>
      <c r="I757" s="5">
        <v>442</v>
      </c>
      <c r="J757" s="5">
        <v>1009</v>
      </c>
      <c r="K757" s="5">
        <v>1338.95</v>
      </c>
      <c r="L757" s="5">
        <v>1179</v>
      </c>
      <c r="M757" s="5">
        <v>185</v>
      </c>
      <c r="N757" s="5">
        <v>7</v>
      </c>
      <c r="O757" s="5" t="s">
        <v>24</v>
      </c>
      <c r="P757" s="5">
        <v>6466</v>
      </c>
      <c r="Q757" s="5" t="s">
        <v>25</v>
      </c>
      <c r="R757" s="2">
        <v>591815.9</v>
      </c>
      <c r="S757" s="2">
        <v>145837.9</v>
      </c>
      <c r="T757" s="1">
        <v>45996</v>
      </c>
      <c r="U757" s="5">
        <v>12</v>
      </c>
    </row>
    <row r="758" spans="1:21" x14ac:dyDescent="0.3">
      <c r="A758" s="5" t="s">
        <v>819</v>
      </c>
      <c r="B758" s="1">
        <v>45762</v>
      </c>
      <c r="C758" s="5" t="s">
        <v>35</v>
      </c>
      <c r="D758" s="5" t="s">
        <v>28</v>
      </c>
      <c r="E758" s="5" t="s">
        <v>49</v>
      </c>
      <c r="F758" s="5" t="s">
        <v>65</v>
      </c>
      <c r="G758" s="5" t="s">
        <v>38</v>
      </c>
      <c r="H758" s="5" t="s">
        <v>51</v>
      </c>
      <c r="I758" s="5">
        <v>396</v>
      </c>
      <c r="J758" s="5">
        <v>2233</v>
      </c>
      <c r="K758" s="5">
        <v>3006.83</v>
      </c>
      <c r="L758" s="5">
        <v>1651</v>
      </c>
      <c r="M758" s="5">
        <v>162</v>
      </c>
      <c r="N758" s="5">
        <v>8</v>
      </c>
      <c r="O758" s="5" t="s">
        <v>24</v>
      </c>
      <c r="P758" s="5">
        <v>4121</v>
      </c>
      <c r="Q758" s="5" t="s">
        <v>33</v>
      </c>
      <c r="R758" s="2">
        <v>1190704.68</v>
      </c>
      <c r="S758" s="2">
        <v>306436.68</v>
      </c>
      <c r="T758" s="1">
        <v>45762</v>
      </c>
      <c r="U758" s="5">
        <v>4</v>
      </c>
    </row>
    <row r="759" spans="1:21" x14ac:dyDescent="0.3">
      <c r="A759" s="5" t="s">
        <v>820</v>
      </c>
      <c r="B759" s="1">
        <v>45903</v>
      </c>
      <c r="C759" s="5" t="s">
        <v>42</v>
      </c>
      <c r="D759" s="5" t="s">
        <v>36</v>
      </c>
      <c r="E759" s="5" t="s">
        <v>29</v>
      </c>
      <c r="F759" s="5" t="s">
        <v>58</v>
      </c>
      <c r="G759" s="5" t="s">
        <v>38</v>
      </c>
      <c r="H759" s="5" t="s">
        <v>23</v>
      </c>
      <c r="I759" s="5">
        <v>108</v>
      </c>
      <c r="J759" s="5">
        <v>572</v>
      </c>
      <c r="K759" s="5">
        <v>716.74</v>
      </c>
      <c r="L759" s="5">
        <v>353</v>
      </c>
      <c r="M759" s="5">
        <v>275</v>
      </c>
      <c r="N759" s="5">
        <v>6</v>
      </c>
      <c r="O759" s="5" t="s">
        <v>24</v>
      </c>
      <c r="P759" s="5">
        <v>7613</v>
      </c>
      <c r="Q759" s="5" t="s">
        <v>40</v>
      </c>
      <c r="R759" s="2">
        <v>77407.92</v>
      </c>
      <c r="S759" s="2">
        <v>15631.92</v>
      </c>
      <c r="T759" s="1">
        <v>45903</v>
      </c>
      <c r="U759" s="5">
        <v>9</v>
      </c>
    </row>
    <row r="760" spans="1:21" x14ac:dyDescent="0.3">
      <c r="A760" s="5" t="s">
        <v>821</v>
      </c>
      <c r="B760" s="1">
        <v>45888</v>
      </c>
      <c r="C760" s="5" t="s">
        <v>35</v>
      </c>
      <c r="D760" s="5" t="s">
        <v>62</v>
      </c>
      <c r="E760" s="5" t="s">
        <v>54</v>
      </c>
      <c r="F760" s="5" t="s">
        <v>55</v>
      </c>
      <c r="G760" s="5" t="s">
        <v>31</v>
      </c>
      <c r="H760" s="5" t="s">
        <v>39</v>
      </c>
      <c r="I760" s="5">
        <v>212</v>
      </c>
      <c r="J760" s="5">
        <v>2882</v>
      </c>
      <c r="K760" s="5">
        <v>3383.39</v>
      </c>
      <c r="L760" s="5">
        <v>1043</v>
      </c>
      <c r="M760" s="5">
        <v>252</v>
      </c>
      <c r="N760" s="5">
        <v>3</v>
      </c>
      <c r="O760" s="5" t="s">
        <v>32</v>
      </c>
      <c r="P760" s="5">
        <v>5281</v>
      </c>
      <c r="Q760" s="5" t="s">
        <v>33</v>
      </c>
      <c r="R760" s="2">
        <v>717278.68</v>
      </c>
      <c r="S760" s="2">
        <v>106294.68</v>
      </c>
      <c r="T760" s="1">
        <v>45888</v>
      </c>
      <c r="U760" s="5">
        <v>8</v>
      </c>
    </row>
    <row r="761" spans="1:21" x14ac:dyDescent="0.3">
      <c r="A761" s="5" t="s">
        <v>822</v>
      </c>
      <c r="B761" s="1">
        <v>46022</v>
      </c>
      <c r="C761" s="5" t="s">
        <v>35</v>
      </c>
      <c r="D761" s="5" t="s">
        <v>53</v>
      </c>
      <c r="E761" s="5" t="s">
        <v>54</v>
      </c>
      <c r="F761" s="5" t="s">
        <v>81</v>
      </c>
      <c r="G761" s="5" t="s">
        <v>56</v>
      </c>
      <c r="H761" s="5" t="s">
        <v>39</v>
      </c>
      <c r="I761" s="5">
        <v>410</v>
      </c>
      <c r="J761" s="5">
        <v>3480</v>
      </c>
      <c r="K761" s="5">
        <v>5013.82</v>
      </c>
      <c r="L761" s="5">
        <v>445</v>
      </c>
      <c r="M761" s="5">
        <v>279</v>
      </c>
      <c r="N761" s="5">
        <v>6</v>
      </c>
      <c r="O761" s="5" t="s">
        <v>24</v>
      </c>
      <c r="P761" s="5">
        <v>1371</v>
      </c>
      <c r="Q761" s="5" t="s">
        <v>25</v>
      </c>
      <c r="R761" s="2">
        <v>2055666.2</v>
      </c>
      <c r="S761" s="2">
        <v>628866.19999999995</v>
      </c>
      <c r="T761" s="1">
        <v>46022</v>
      </c>
      <c r="U761" s="5">
        <v>12</v>
      </c>
    </row>
    <row r="762" spans="1:21" x14ac:dyDescent="0.3">
      <c r="A762" s="5" t="s">
        <v>823</v>
      </c>
      <c r="B762" s="1">
        <v>45817</v>
      </c>
      <c r="C762" s="5" t="s">
        <v>27</v>
      </c>
      <c r="D762" s="5" t="s">
        <v>36</v>
      </c>
      <c r="E762" s="5" t="s">
        <v>20</v>
      </c>
      <c r="F762" s="5" t="s">
        <v>37</v>
      </c>
      <c r="G762" s="5" t="s">
        <v>38</v>
      </c>
      <c r="H762" s="5" t="s">
        <v>23</v>
      </c>
      <c r="I762" s="5">
        <v>211</v>
      </c>
      <c r="J762" s="5">
        <v>2269</v>
      </c>
      <c r="K762" s="5">
        <v>3396.05</v>
      </c>
      <c r="L762" s="5">
        <v>512</v>
      </c>
      <c r="M762" s="5">
        <v>206</v>
      </c>
      <c r="N762" s="5">
        <v>4</v>
      </c>
      <c r="O762" s="5" t="s">
        <v>32</v>
      </c>
      <c r="P762" s="5">
        <v>2489</v>
      </c>
      <c r="Q762" s="5" t="s">
        <v>33</v>
      </c>
      <c r="R762" s="2">
        <v>716566.55</v>
      </c>
      <c r="S762" s="2">
        <v>237807.55</v>
      </c>
      <c r="T762" s="1">
        <v>45817</v>
      </c>
      <c r="U762" s="5">
        <v>6</v>
      </c>
    </row>
    <row r="763" spans="1:21" x14ac:dyDescent="0.3">
      <c r="A763" s="5" t="s">
        <v>824</v>
      </c>
      <c r="B763" s="1">
        <v>45832</v>
      </c>
      <c r="C763" s="5" t="s">
        <v>35</v>
      </c>
      <c r="D763" s="5" t="s">
        <v>36</v>
      </c>
      <c r="E763" s="5" t="s">
        <v>20</v>
      </c>
      <c r="F763" s="5" t="s">
        <v>37</v>
      </c>
      <c r="G763" s="5" t="s">
        <v>56</v>
      </c>
      <c r="H763" s="5" t="s">
        <v>39</v>
      </c>
      <c r="I763" s="5">
        <v>54</v>
      </c>
      <c r="J763" s="5">
        <v>457</v>
      </c>
      <c r="K763" s="5">
        <v>530.59</v>
      </c>
      <c r="L763" s="5">
        <v>160</v>
      </c>
      <c r="M763" s="5">
        <v>143</v>
      </c>
      <c r="N763" s="5">
        <v>8</v>
      </c>
      <c r="O763" s="5" t="s">
        <v>24</v>
      </c>
      <c r="P763" s="5">
        <v>949</v>
      </c>
      <c r="Q763" s="5" t="s">
        <v>40</v>
      </c>
      <c r="R763" s="2">
        <v>28651.86</v>
      </c>
      <c r="S763" s="2">
        <v>3973.86</v>
      </c>
      <c r="T763" s="1">
        <v>45832</v>
      </c>
      <c r="U763" s="5">
        <v>6</v>
      </c>
    </row>
    <row r="764" spans="1:21" x14ac:dyDescent="0.3">
      <c r="A764" s="5" t="s">
        <v>825</v>
      </c>
      <c r="B764" s="1">
        <v>46014</v>
      </c>
      <c r="C764" s="5" t="s">
        <v>35</v>
      </c>
      <c r="D764" s="5" t="s">
        <v>28</v>
      </c>
      <c r="E764" s="5" t="s">
        <v>20</v>
      </c>
      <c r="F764" s="5" t="s">
        <v>21</v>
      </c>
      <c r="G764" s="5" t="s">
        <v>31</v>
      </c>
      <c r="H764" s="5" t="s">
        <v>51</v>
      </c>
      <c r="I764" s="5">
        <v>34</v>
      </c>
      <c r="J764" s="5">
        <v>1570</v>
      </c>
      <c r="K764" s="5">
        <v>2206.84</v>
      </c>
      <c r="L764" s="5">
        <v>1284</v>
      </c>
      <c r="M764" s="5">
        <v>243</v>
      </c>
      <c r="N764" s="5">
        <v>6</v>
      </c>
      <c r="O764" s="5" t="s">
        <v>24</v>
      </c>
      <c r="P764" s="5">
        <v>4716</v>
      </c>
      <c r="Q764" s="5" t="s">
        <v>33</v>
      </c>
      <c r="R764" s="2">
        <v>75032.56</v>
      </c>
      <c r="S764" s="2">
        <v>21652.560000000001</v>
      </c>
      <c r="T764" s="1">
        <v>46014</v>
      </c>
      <c r="U764" s="5">
        <v>12</v>
      </c>
    </row>
    <row r="765" spans="1:21" x14ac:dyDescent="0.3">
      <c r="A765" s="5" t="s">
        <v>826</v>
      </c>
      <c r="B765" s="1">
        <v>45810</v>
      </c>
      <c r="C765" s="5" t="s">
        <v>42</v>
      </c>
      <c r="D765" s="5" t="s">
        <v>36</v>
      </c>
      <c r="E765" s="5" t="s">
        <v>20</v>
      </c>
      <c r="F765" s="5" t="s">
        <v>100</v>
      </c>
      <c r="G765" s="5" t="s">
        <v>38</v>
      </c>
      <c r="H765" s="5" t="s">
        <v>23</v>
      </c>
      <c r="I765" s="5">
        <v>127</v>
      </c>
      <c r="J765" s="5">
        <v>923</v>
      </c>
      <c r="K765" s="5">
        <v>1152.49</v>
      </c>
      <c r="L765" s="5">
        <v>1444</v>
      </c>
      <c r="M765" s="5">
        <v>171</v>
      </c>
      <c r="N765" s="5">
        <v>3</v>
      </c>
      <c r="O765" s="5" t="s">
        <v>32</v>
      </c>
      <c r="P765" s="5">
        <v>4371</v>
      </c>
      <c r="Q765" s="5" t="s">
        <v>33</v>
      </c>
      <c r="R765" s="2">
        <v>146366.23000000001</v>
      </c>
      <c r="S765" s="2">
        <v>29145.23</v>
      </c>
      <c r="T765" s="1">
        <v>45810</v>
      </c>
      <c r="U765" s="5">
        <v>6</v>
      </c>
    </row>
    <row r="766" spans="1:21" x14ac:dyDescent="0.3">
      <c r="A766" s="5" t="s">
        <v>827</v>
      </c>
      <c r="B766" s="1">
        <v>45899</v>
      </c>
      <c r="C766" s="5" t="s">
        <v>27</v>
      </c>
      <c r="D766" s="5" t="s">
        <v>36</v>
      </c>
      <c r="E766" s="5" t="s">
        <v>49</v>
      </c>
      <c r="F766" s="5" t="s">
        <v>89</v>
      </c>
      <c r="G766" s="5" t="s">
        <v>56</v>
      </c>
      <c r="H766" s="5" t="s">
        <v>39</v>
      </c>
      <c r="I766" s="5">
        <v>33</v>
      </c>
      <c r="J766" s="5">
        <v>3594</v>
      </c>
      <c r="K766" s="5">
        <v>4782.74</v>
      </c>
      <c r="L766" s="5">
        <v>1867</v>
      </c>
      <c r="M766" s="5">
        <v>89</v>
      </c>
      <c r="N766" s="5">
        <v>4</v>
      </c>
      <c r="O766" s="5" t="s">
        <v>32</v>
      </c>
      <c r="P766" s="5">
        <v>659</v>
      </c>
      <c r="Q766" s="5" t="s">
        <v>25</v>
      </c>
      <c r="R766" s="2">
        <v>157830.42000000001</v>
      </c>
      <c r="S766" s="2">
        <v>39228.42</v>
      </c>
      <c r="T766" s="1">
        <v>45899</v>
      </c>
      <c r="U766" s="5">
        <v>8</v>
      </c>
    </row>
    <row r="767" spans="1:21" x14ac:dyDescent="0.3">
      <c r="A767" s="5" t="s">
        <v>828</v>
      </c>
      <c r="B767" s="1">
        <v>46008</v>
      </c>
      <c r="C767" s="5" t="s">
        <v>42</v>
      </c>
      <c r="D767" s="5" t="s">
        <v>19</v>
      </c>
      <c r="E767" s="5" t="s">
        <v>54</v>
      </c>
      <c r="F767" s="5" t="s">
        <v>63</v>
      </c>
      <c r="G767" s="5" t="s">
        <v>56</v>
      </c>
      <c r="H767" s="5" t="s">
        <v>23</v>
      </c>
      <c r="I767" s="5">
        <v>61</v>
      </c>
      <c r="J767" s="5">
        <v>4875</v>
      </c>
      <c r="K767" s="5">
        <v>5758.34</v>
      </c>
      <c r="L767" s="5">
        <v>192</v>
      </c>
      <c r="M767" s="5">
        <v>245</v>
      </c>
      <c r="N767" s="5">
        <v>4</v>
      </c>
      <c r="O767" s="5" t="s">
        <v>32</v>
      </c>
      <c r="P767" s="5">
        <v>400</v>
      </c>
      <c r="Q767" s="5" t="s">
        <v>33</v>
      </c>
      <c r="R767" s="2">
        <v>351258.74</v>
      </c>
      <c r="S767" s="2">
        <v>53883.74</v>
      </c>
      <c r="T767" s="1">
        <v>46008</v>
      </c>
      <c r="U767" s="5">
        <v>12</v>
      </c>
    </row>
    <row r="768" spans="1:21" x14ac:dyDescent="0.3">
      <c r="A768" s="5" t="s">
        <v>829</v>
      </c>
      <c r="B768" s="1">
        <v>45794</v>
      </c>
      <c r="C768" s="5" t="s">
        <v>42</v>
      </c>
      <c r="D768" s="5" t="s">
        <v>19</v>
      </c>
      <c r="E768" s="5" t="s">
        <v>29</v>
      </c>
      <c r="F768" s="5" t="s">
        <v>30</v>
      </c>
      <c r="G768" s="5" t="s">
        <v>56</v>
      </c>
      <c r="H768" s="5" t="s">
        <v>51</v>
      </c>
      <c r="I768" s="5">
        <v>30</v>
      </c>
      <c r="J768" s="5">
        <v>2588</v>
      </c>
      <c r="K768" s="5">
        <v>3144.93</v>
      </c>
      <c r="L768" s="5">
        <v>1867</v>
      </c>
      <c r="M768" s="5">
        <v>296</v>
      </c>
      <c r="N768" s="5">
        <v>10</v>
      </c>
      <c r="O768" s="5" t="s">
        <v>24</v>
      </c>
      <c r="P768" s="5">
        <v>4231</v>
      </c>
      <c r="Q768" s="5" t="s">
        <v>33</v>
      </c>
      <c r="R768" s="2">
        <v>94347.9</v>
      </c>
      <c r="S768" s="2">
        <v>16707.900000000001</v>
      </c>
      <c r="T768" s="1">
        <v>45794</v>
      </c>
      <c r="U768" s="5">
        <v>5</v>
      </c>
    </row>
    <row r="769" spans="1:21" x14ac:dyDescent="0.3">
      <c r="A769" s="5" t="s">
        <v>830</v>
      </c>
      <c r="B769" s="1">
        <v>45697</v>
      </c>
      <c r="C769" s="5" t="s">
        <v>42</v>
      </c>
      <c r="D769" s="5" t="s">
        <v>19</v>
      </c>
      <c r="E769" s="5" t="s">
        <v>29</v>
      </c>
      <c r="F769" s="5" t="s">
        <v>43</v>
      </c>
      <c r="G769" s="5" t="s">
        <v>22</v>
      </c>
      <c r="H769" s="5" t="s">
        <v>39</v>
      </c>
      <c r="I769" s="5">
        <v>408</v>
      </c>
      <c r="J769" s="5">
        <v>3352</v>
      </c>
      <c r="K769" s="5">
        <v>4916.92</v>
      </c>
      <c r="L769" s="5">
        <v>107</v>
      </c>
      <c r="M769" s="5">
        <v>290</v>
      </c>
      <c r="N769" s="5">
        <v>7</v>
      </c>
      <c r="O769" s="5" t="s">
        <v>24</v>
      </c>
      <c r="P769" s="5">
        <v>429</v>
      </c>
      <c r="Q769" s="5" t="s">
        <v>25</v>
      </c>
      <c r="R769" s="2">
        <v>2006103.36</v>
      </c>
      <c r="S769" s="2">
        <v>638487.36</v>
      </c>
      <c r="T769" s="1">
        <v>45697</v>
      </c>
      <c r="U769" s="5">
        <v>2</v>
      </c>
    </row>
    <row r="770" spans="1:21" x14ac:dyDescent="0.3">
      <c r="A770" s="5" t="s">
        <v>831</v>
      </c>
      <c r="B770" s="1">
        <v>45834</v>
      </c>
      <c r="C770" s="5" t="s">
        <v>27</v>
      </c>
      <c r="D770" s="5" t="s">
        <v>53</v>
      </c>
      <c r="E770" s="5" t="s">
        <v>54</v>
      </c>
      <c r="F770" s="5" t="s">
        <v>55</v>
      </c>
      <c r="G770" s="5" t="s">
        <v>22</v>
      </c>
      <c r="H770" s="5" t="s">
        <v>23</v>
      </c>
      <c r="I770" s="5">
        <v>166</v>
      </c>
      <c r="J770" s="5">
        <v>4277</v>
      </c>
      <c r="K770" s="5">
        <v>5130.1000000000004</v>
      </c>
      <c r="L770" s="5">
        <v>1791</v>
      </c>
      <c r="M770" s="5">
        <v>228</v>
      </c>
      <c r="N770" s="5">
        <v>6</v>
      </c>
      <c r="O770" s="5" t="s">
        <v>24</v>
      </c>
      <c r="P770" s="5">
        <v>6280</v>
      </c>
      <c r="Q770" s="5" t="s">
        <v>25</v>
      </c>
      <c r="R770" s="2">
        <v>851596.6</v>
      </c>
      <c r="S770" s="2">
        <v>141614.6</v>
      </c>
      <c r="T770" s="1">
        <v>45834</v>
      </c>
      <c r="U770" s="5">
        <v>6</v>
      </c>
    </row>
    <row r="771" spans="1:21" x14ac:dyDescent="0.3">
      <c r="A771" s="5" t="s">
        <v>832</v>
      </c>
      <c r="B771" s="1">
        <v>45950</v>
      </c>
      <c r="C771" s="5" t="s">
        <v>35</v>
      </c>
      <c r="D771" s="5" t="s">
        <v>62</v>
      </c>
      <c r="E771" s="5" t="s">
        <v>49</v>
      </c>
      <c r="F771" s="5" t="s">
        <v>75</v>
      </c>
      <c r="G771" s="5" t="s">
        <v>22</v>
      </c>
      <c r="H771" s="5" t="s">
        <v>51</v>
      </c>
      <c r="I771" s="5">
        <v>140</v>
      </c>
      <c r="J771" s="5">
        <v>4145</v>
      </c>
      <c r="K771" s="5">
        <v>5291.98</v>
      </c>
      <c r="L771" s="5">
        <v>1901</v>
      </c>
      <c r="M771" s="5">
        <v>175</v>
      </c>
      <c r="N771" s="5">
        <v>6</v>
      </c>
      <c r="O771" s="5" t="s">
        <v>24</v>
      </c>
      <c r="P771" s="5">
        <v>5012</v>
      </c>
      <c r="Q771" s="5" t="s">
        <v>40</v>
      </c>
      <c r="R771" s="2">
        <v>740877.2</v>
      </c>
      <c r="S771" s="2">
        <v>160577.20000000001</v>
      </c>
      <c r="T771" s="1">
        <v>45950</v>
      </c>
      <c r="U771" s="5">
        <v>10</v>
      </c>
    </row>
    <row r="772" spans="1:21" x14ac:dyDescent="0.3">
      <c r="A772" s="5" t="s">
        <v>833</v>
      </c>
      <c r="B772" s="1">
        <v>45896</v>
      </c>
      <c r="C772" s="5" t="s">
        <v>18</v>
      </c>
      <c r="D772" s="5" t="s">
        <v>19</v>
      </c>
      <c r="E772" s="5" t="s">
        <v>29</v>
      </c>
      <c r="F772" s="5" t="s">
        <v>73</v>
      </c>
      <c r="G772" s="5" t="s">
        <v>56</v>
      </c>
      <c r="H772" s="5" t="s">
        <v>51</v>
      </c>
      <c r="I772" s="5">
        <v>399</v>
      </c>
      <c r="J772" s="5">
        <v>4131</v>
      </c>
      <c r="K772" s="5">
        <v>5835.54</v>
      </c>
      <c r="L772" s="5">
        <v>243</v>
      </c>
      <c r="M772" s="5">
        <v>170</v>
      </c>
      <c r="N772" s="5">
        <v>8</v>
      </c>
      <c r="O772" s="5" t="s">
        <v>24</v>
      </c>
      <c r="P772" s="5">
        <v>345</v>
      </c>
      <c r="Q772" s="5" t="s">
        <v>40</v>
      </c>
      <c r="R772" s="2">
        <v>2328380.46</v>
      </c>
      <c r="S772" s="2">
        <v>680111.46</v>
      </c>
      <c r="T772" s="1">
        <v>45896</v>
      </c>
      <c r="U772" s="5">
        <v>8</v>
      </c>
    </row>
    <row r="773" spans="1:21" x14ac:dyDescent="0.3">
      <c r="A773" s="5" t="s">
        <v>834</v>
      </c>
      <c r="B773" s="1">
        <v>45974</v>
      </c>
      <c r="C773" s="5" t="s">
        <v>27</v>
      </c>
      <c r="D773" s="5" t="s">
        <v>62</v>
      </c>
      <c r="E773" s="5" t="s">
        <v>20</v>
      </c>
      <c r="F773" s="5" t="s">
        <v>60</v>
      </c>
      <c r="G773" s="5" t="s">
        <v>56</v>
      </c>
      <c r="H773" s="5" t="s">
        <v>23</v>
      </c>
      <c r="I773" s="5">
        <v>239</v>
      </c>
      <c r="J773" s="5">
        <v>4491</v>
      </c>
      <c r="K773" s="5">
        <v>6525.17</v>
      </c>
      <c r="L773" s="5">
        <v>1035</v>
      </c>
      <c r="M773" s="5">
        <v>215</v>
      </c>
      <c r="N773" s="5">
        <v>2</v>
      </c>
      <c r="O773" s="5" t="s">
        <v>24</v>
      </c>
      <c r="P773" s="5">
        <v>1635</v>
      </c>
      <c r="Q773" s="5" t="s">
        <v>40</v>
      </c>
      <c r="R773" s="2">
        <v>1559515.63</v>
      </c>
      <c r="S773" s="2">
        <v>486166.63</v>
      </c>
      <c r="T773" s="1">
        <v>45974</v>
      </c>
      <c r="U773" s="5">
        <v>11</v>
      </c>
    </row>
    <row r="774" spans="1:21" x14ac:dyDescent="0.3">
      <c r="A774" s="5" t="s">
        <v>835</v>
      </c>
      <c r="B774" s="1">
        <v>45889</v>
      </c>
      <c r="C774" s="5" t="s">
        <v>42</v>
      </c>
      <c r="D774" s="5" t="s">
        <v>19</v>
      </c>
      <c r="E774" s="5" t="s">
        <v>29</v>
      </c>
      <c r="F774" s="5" t="s">
        <v>43</v>
      </c>
      <c r="G774" s="5" t="s">
        <v>31</v>
      </c>
      <c r="H774" s="5" t="s">
        <v>23</v>
      </c>
      <c r="I774" s="5">
        <v>380</v>
      </c>
      <c r="J774" s="5">
        <v>3890</v>
      </c>
      <c r="K774" s="5">
        <v>4813.6899999999996</v>
      </c>
      <c r="L774" s="5">
        <v>1731</v>
      </c>
      <c r="M774" s="5">
        <v>124</v>
      </c>
      <c r="N774" s="5">
        <v>10</v>
      </c>
      <c r="O774" s="5" t="s">
        <v>24</v>
      </c>
      <c r="P774" s="5">
        <v>2786</v>
      </c>
      <c r="Q774" s="5" t="s">
        <v>25</v>
      </c>
      <c r="R774" s="2">
        <v>1829202.2</v>
      </c>
      <c r="S774" s="2">
        <v>351002.2</v>
      </c>
      <c r="T774" s="1">
        <v>45889</v>
      </c>
      <c r="U774" s="5">
        <v>8</v>
      </c>
    </row>
    <row r="775" spans="1:21" x14ac:dyDescent="0.3">
      <c r="A775" s="5" t="s">
        <v>836</v>
      </c>
      <c r="B775" s="1">
        <v>45723</v>
      </c>
      <c r="C775" s="5" t="s">
        <v>42</v>
      </c>
      <c r="D775" s="5" t="s">
        <v>19</v>
      </c>
      <c r="E775" s="5" t="s">
        <v>54</v>
      </c>
      <c r="F775" s="5" t="s">
        <v>78</v>
      </c>
      <c r="G775" s="5" t="s">
        <v>38</v>
      </c>
      <c r="H775" s="5" t="s">
        <v>39</v>
      </c>
      <c r="I775" s="5">
        <v>67</v>
      </c>
      <c r="J775" s="5">
        <v>2731</v>
      </c>
      <c r="K775" s="5">
        <v>3883.38</v>
      </c>
      <c r="L775" s="5">
        <v>666</v>
      </c>
      <c r="M775" s="5">
        <v>233</v>
      </c>
      <c r="N775" s="5">
        <v>1</v>
      </c>
      <c r="O775" s="5" t="s">
        <v>32</v>
      </c>
      <c r="P775" s="5">
        <v>407</v>
      </c>
      <c r="Q775" s="5" t="s">
        <v>33</v>
      </c>
      <c r="R775" s="2">
        <v>260186.46</v>
      </c>
      <c r="S775" s="2">
        <v>77209.460000000006</v>
      </c>
      <c r="T775" s="1">
        <v>45723</v>
      </c>
      <c r="U775" s="5">
        <v>3</v>
      </c>
    </row>
    <row r="776" spans="1:21" x14ac:dyDescent="0.3">
      <c r="A776" s="5" t="s">
        <v>837</v>
      </c>
      <c r="B776" s="1">
        <v>45898</v>
      </c>
      <c r="C776" s="5" t="s">
        <v>27</v>
      </c>
      <c r="D776" s="5" t="s">
        <v>36</v>
      </c>
      <c r="E776" s="5" t="s">
        <v>20</v>
      </c>
      <c r="F776" s="5" t="s">
        <v>100</v>
      </c>
      <c r="G776" s="5" t="s">
        <v>38</v>
      </c>
      <c r="H776" s="5" t="s">
        <v>51</v>
      </c>
      <c r="I776" s="5">
        <v>428</v>
      </c>
      <c r="J776" s="5">
        <v>2340</v>
      </c>
      <c r="K776" s="5">
        <v>3181.39</v>
      </c>
      <c r="L776" s="5">
        <v>1339</v>
      </c>
      <c r="M776" s="5">
        <v>110</v>
      </c>
      <c r="N776" s="5">
        <v>8</v>
      </c>
      <c r="O776" s="5" t="s">
        <v>24</v>
      </c>
      <c r="P776" s="5">
        <v>6124</v>
      </c>
      <c r="Q776" s="5" t="s">
        <v>40</v>
      </c>
      <c r="R776" s="2">
        <v>1361634.92</v>
      </c>
      <c r="S776" s="2">
        <v>360114.92</v>
      </c>
      <c r="T776" s="1">
        <v>45898</v>
      </c>
      <c r="U776" s="5">
        <v>8</v>
      </c>
    </row>
    <row r="777" spans="1:21" x14ac:dyDescent="0.3">
      <c r="A777" s="5" t="s">
        <v>838</v>
      </c>
      <c r="B777" s="1">
        <v>46020</v>
      </c>
      <c r="C777" s="5" t="s">
        <v>35</v>
      </c>
      <c r="D777" s="5" t="s">
        <v>19</v>
      </c>
      <c r="E777" s="5" t="s">
        <v>49</v>
      </c>
      <c r="F777" s="5" t="s">
        <v>50</v>
      </c>
      <c r="G777" s="5" t="s">
        <v>22</v>
      </c>
      <c r="H777" s="5" t="s">
        <v>39</v>
      </c>
      <c r="I777" s="5">
        <v>21</v>
      </c>
      <c r="J777" s="5">
        <v>4010</v>
      </c>
      <c r="K777" s="5">
        <v>5188.1000000000004</v>
      </c>
      <c r="L777" s="5">
        <v>1802</v>
      </c>
      <c r="M777" s="5">
        <v>271</v>
      </c>
      <c r="N777" s="5">
        <v>6</v>
      </c>
      <c r="O777" s="5" t="s">
        <v>24</v>
      </c>
      <c r="P777" s="5">
        <v>2076</v>
      </c>
      <c r="Q777" s="5" t="s">
        <v>25</v>
      </c>
      <c r="R777" s="2">
        <v>108950.1</v>
      </c>
      <c r="S777" s="2">
        <v>24740.1</v>
      </c>
      <c r="T777" s="1">
        <v>46020</v>
      </c>
      <c r="U777" s="5">
        <v>12</v>
      </c>
    </row>
    <row r="778" spans="1:21" x14ac:dyDescent="0.3">
      <c r="A778" s="5" t="s">
        <v>839</v>
      </c>
      <c r="B778" s="1">
        <v>45670</v>
      </c>
      <c r="C778" s="5" t="s">
        <v>18</v>
      </c>
      <c r="D778" s="5" t="s">
        <v>53</v>
      </c>
      <c r="E778" s="5" t="s">
        <v>29</v>
      </c>
      <c r="F778" s="5" t="s">
        <v>73</v>
      </c>
      <c r="G778" s="5" t="s">
        <v>31</v>
      </c>
      <c r="H778" s="5" t="s">
        <v>23</v>
      </c>
      <c r="I778" s="5">
        <v>207</v>
      </c>
      <c r="J778" s="5">
        <v>4482</v>
      </c>
      <c r="K778" s="5">
        <v>5794.79</v>
      </c>
      <c r="L778" s="5">
        <v>780</v>
      </c>
      <c r="M778" s="5">
        <v>89</v>
      </c>
      <c r="N778" s="5">
        <v>2</v>
      </c>
      <c r="O778" s="5" t="s">
        <v>32</v>
      </c>
      <c r="P778" s="5">
        <v>7001</v>
      </c>
      <c r="Q778" s="5" t="s">
        <v>33</v>
      </c>
      <c r="R778" s="2">
        <v>1199521.53</v>
      </c>
      <c r="S778" s="2">
        <v>271747.53000000003</v>
      </c>
      <c r="T778" s="1">
        <v>45670</v>
      </c>
      <c r="U778" s="5">
        <v>1</v>
      </c>
    </row>
    <row r="779" spans="1:21" x14ac:dyDescent="0.3">
      <c r="A779" s="5" t="s">
        <v>840</v>
      </c>
      <c r="B779" s="1">
        <v>45912</v>
      </c>
      <c r="C779" s="5" t="s">
        <v>18</v>
      </c>
      <c r="D779" s="5" t="s">
        <v>53</v>
      </c>
      <c r="E779" s="5" t="s">
        <v>54</v>
      </c>
      <c r="F779" s="5" t="s">
        <v>63</v>
      </c>
      <c r="G779" s="5" t="s">
        <v>38</v>
      </c>
      <c r="H779" s="5" t="s">
        <v>51</v>
      </c>
      <c r="I779" s="5">
        <v>499</v>
      </c>
      <c r="J779" s="5">
        <v>1715</v>
      </c>
      <c r="K779" s="5">
        <v>2189.16</v>
      </c>
      <c r="L779" s="5">
        <v>1006</v>
      </c>
      <c r="M779" s="5">
        <v>236</v>
      </c>
      <c r="N779" s="5">
        <v>4</v>
      </c>
      <c r="O779" s="5" t="s">
        <v>32</v>
      </c>
      <c r="P779" s="5">
        <v>6501</v>
      </c>
      <c r="Q779" s="5" t="s">
        <v>33</v>
      </c>
      <c r="R779" s="2">
        <v>1092390.8400000001</v>
      </c>
      <c r="S779" s="2">
        <v>236605.84</v>
      </c>
      <c r="T779" s="1">
        <v>45912</v>
      </c>
      <c r="U779" s="5">
        <v>9</v>
      </c>
    </row>
    <row r="780" spans="1:21" x14ac:dyDescent="0.3">
      <c r="A780" s="5" t="s">
        <v>841</v>
      </c>
      <c r="B780" s="1">
        <v>45803</v>
      </c>
      <c r="C780" s="5" t="s">
        <v>42</v>
      </c>
      <c r="D780" s="5" t="s">
        <v>28</v>
      </c>
      <c r="E780" s="5" t="s">
        <v>20</v>
      </c>
      <c r="F780" s="5" t="s">
        <v>100</v>
      </c>
      <c r="G780" s="5" t="s">
        <v>22</v>
      </c>
      <c r="H780" s="5" t="s">
        <v>39</v>
      </c>
      <c r="I780" s="5">
        <v>69</v>
      </c>
      <c r="J780" s="5">
        <v>3959</v>
      </c>
      <c r="K780" s="5">
        <v>5087.04</v>
      </c>
      <c r="L780" s="5">
        <v>1938</v>
      </c>
      <c r="M780" s="5">
        <v>182</v>
      </c>
      <c r="N780" s="5">
        <v>6</v>
      </c>
      <c r="O780" s="5" t="s">
        <v>24</v>
      </c>
      <c r="P780" s="5">
        <v>1934</v>
      </c>
      <c r="Q780" s="5" t="s">
        <v>25</v>
      </c>
      <c r="R780" s="2">
        <v>351005.76</v>
      </c>
      <c r="S780" s="2">
        <v>77834.759999999995</v>
      </c>
      <c r="T780" s="1">
        <v>45803</v>
      </c>
      <c r="U780" s="5">
        <v>5</v>
      </c>
    </row>
    <row r="781" spans="1:21" x14ac:dyDescent="0.3">
      <c r="A781" s="5" t="s">
        <v>842</v>
      </c>
      <c r="B781" s="1">
        <v>45711</v>
      </c>
      <c r="C781" s="5" t="s">
        <v>18</v>
      </c>
      <c r="D781" s="5" t="s">
        <v>28</v>
      </c>
      <c r="E781" s="5" t="s">
        <v>54</v>
      </c>
      <c r="F781" s="5" t="s">
        <v>63</v>
      </c>
      <c r="G781" s="5" t="s">
        <v>22</v>
      </c>
      <c r="H781" s="5" t="s">
        <v>23</v>
      </c>
      <c r="I781" s="5">
        <v>434</v>
      </c>
      <c r="J781" s="5">
        <v>4513</v>
      </c>
      <c r="K781" s="5">
        <v>6005.51</v>
      </c>
      <c r="L781" s="5">
        <v>619</v>
      </c>
      <c r="M781" s="5">
        <v>93</v>
      </c>
      <c r="N781" s="5">
        <v>1</v>
      </c>
      <c r="O781" s="5" t="s">
        <v>32</v>
      </c>
      <c r="P781" s="5">
        <v>4220</v>
      </c>
      <c r="Q781" s="5" t="s">
        <v>33</v>
      </c>
      <c r="R781" s="2">
        <v>2606391.34</v>
      </c>
      <c r="S781" s="2">
        <v>647749.34</v>
      </c>
      <c r="T781" s="1">
        <v>45711</v>
      </c>
      <c r="U781" s="5">
        <v>2</v>
      </c>
    </row>
    <row r="782" spans="1:21" x14ac:dyDescent="0.3">
      <c r="A782" s="5" t="s">
        <v>843</v>
      </c>
      <c r="B782" s="1">
        <v>45757</v>
      </c>
      <c r="C782" s="5" t="s">
        <v>42</v>
      </c>
      <c r="D782" s="5" t="s">
        <v>28</v>
      </c>
      <c r="E782" s="5" t="s">
        <v>49</v>
      </c>
      <c r="F782" s="5" t="s">
        <v>89</v>
      </c>
      <c r="G782" s="5" t="s">
        <v>56</v>
      </c>
      <c r="H782" s="5" t="s">
        <v>51</v>
      </c>
      <c r="I782" s="5">
        <v>210</v>
      </c>
      <c r="J782" s="5">
        <v>4808</v>
      </c>
      <c r="K782" s="5">
        <v>5904.28</v>
      </c>
      <c r="L782" s="5">
        <v>1007</v>
      </c>
      <c r="M782" s="5">
        <v>168</v>
      </c>
      <c r="N782" s="5">
        <v>3</v>
      </c>
      <c r="O782" s="5" t="s">
        <v>32</v>
      </c>
      <c r="P782" s="5">
        <v>5757</v>
      </c>
      <c r="Q782" s="5" t="s">
        <v>33</v>
      </c>
      <c r="R782" s="2">
        <v>1239898.8</v>
      </c>
      <c r="S782" s="2">
        <v>230218.8</v>
      </c>
      <c r="T782" s="1">
        <v>45757</v>
      </c>
      <c r="U782" s="5">
        <v>4</v>
      </c>
    </row>
    <row r="783" spans="1:21" x14ac:dyDescent="0.3">
      <c r="A783" s="5" t="s">
        <v>844</v>
      </c>
      <c r="B783" s="1">
        <v>45874</v>
      </c>
      <c r="C783" s="5" t="s">
        <v>27</v>
      </c>
      <c r="D783" s="5" t="s">
        <v>28</v>
      </c>
      <c r="E783" s="5" t="s">
        <v>54</v>
      </c>
      <c r="F783" s="5" t="s">
        <v>87</v>
      </c>
      <c r="G783" s="5" t="s">
        <v>38</v>
      </c>
      <c r="H783" s="5" t="s">
        <v>51</v>
      </c>
      <c r="I783" s="5">
        <v>164</v>
      </c>
      <c r="J783" s="5">
        <v>4758</v>
      </c>
      <c r="K783" s="5">
        <v>6868.66</v>
      </c>
      <c r="L783" s="5">
        <v>1246</v>
      </c>
      <c r="M783" s="5">
        <v>228</v>
      </c>
      <c r="N783" s="5">
        <v>7</v>
      </c>
      <c r="O783" s="5" t="s">
        <v>24</v>
      </c>
      <c r="P783" s="5">
        <v>2121</v>
      </c>
      <c r="Q783" s="5" t="s">
        <v>25</v>
      </c>
      <c r="R783" s="2">
        <v>1126460.24</v>
      </c>
      <c r="S783" s="2">
        <v>346148.24</v>
      </c>
      <c r="T783" s="1">
        <v>45874</v>
      </c>
      <c r="U783" s="5">
        <v>8</v>
      </c>
    </row>
    <row r="784" spans="1:21" x14ac:dyDescent="0.3">
      <c r="A784" s="5" t="s">
        <v>845</v>
      </c>
      <c r="B784" s="1">
        <v>45776</v>
      </c>
      <c r="C784" s="5" t="s">
        <v>27</v>
      </c>
      <c r="D784" s="5" t="s">
        <v>62</v>
      </c>
      <c r="E784" s="5" t="s">
        <v>54</v>
      </c>
      <c r="F784" s="5" t="s">
        <v>87</v>
      </c>
      <c r="G784" s="5" t="s">
        <v>38</v>
      </c>
      <c r="H784" s="5" t="s">
        <v>39</v>
      </c>
      <c r="I784" s="5">
        <v>247</v>
      </c>
      <c r="J784" s="5">
        <v>637</v>
      </c>
      <c r="K784" s="5">
        <v>754.57</v>
      </c>
      <c r="L784" s="5">
        <v>1042</v>
      </c>
      <c r="M784" s="5">
        <v>209</v>
      </c>
      <c r="N784" s="5">
        <v>1</v>
      </c>
      <c r="O784" s="5" t="s">
        <v>32</v>
      </c>
      <c r="P784" s="5">
        <v>1351</v>
      </c>
      <c r="Q784" s="5" t="s">
        <v>33</v>
      </c>
      <c r="R784" s="2">
        <v>186378.79</v>
      </c>
      <c r="S784" s="2">
        <v>29039.79</v>
      </c>
      <c r="T784" s="1">
        <v>45776</v>
      </c>
      <c r="U784" s="5">
        <v>4</v>
      </c>
    </row>
    <row r="785" spans="1:21" x14ac:dyDescent="0.3">
      <c r="A785" s="5" t="s">
        <v>846</v>
      </c>
      <c r="B785" s="1">
        <v>45847</v>
      </c>
      <c r="C785" s="5" t="s">
        <v>35</v>
      </c>
      <c r="D785" s="5" t="s">
        <v>62</v>
      </c>
      <c r="E785" s="5" t="s">
        <v>29</v>
      </c>
      <c r="F785" s="5" t="s">
        <v>30</v>
      </c>
      <c r="G785" s="5" t="s">
        <v>22</v>
      </c>
      <c r="H785" s="5" t="s">
        <v>23</v>
      </c>
      <c r="I785" s="5">
        <v>78</v>
      </c>
      <c r="J785" s="5">
        <v>4139</v>
      </c>
      <c r="K785" s="5">
        <v>5407.2</v>
      </c>
      <c r="L785" s="5">
        <v>1998</v>
      </c>
      <c r="M785" s="5">
        <v>100</v>
      </c>
      <c r="N785" s="5">
        <v>8</v>
      </c>
      <c r="O785" s="5" t="s">
        <v>24</v>
      </c>
      <c r="P785" s="5">
        <v>3131</v>
      </c>
      <c r="Q785" s="5" t="s">
        <v>46</v>
      </c>
      <c r="R785" s="2">
        <v>421761.6</v>
      </c>
      <c r="S785" s="2">
        <v>98919.6</v>
      </c>
      <c r="T785" s="1">
        <v>45847</v>
      </c>
      <c r="U785" s="5">
        <v>7</v>
      </c>
    </row>
    <row r="786" spans="1:21" x14ac:dyDescent="0.3">
      <c r="A786" s="5" t="s">
        <v>847</v>
      </c>
      <c r="B786" s="1">
        <v>45880</v>
      </c>
      <c r="C786" s="5" t="s">
        <v>35</v>
      </c>
      <c r="D786" s="5" t="s">
        <v>19</v>
      </c>
      <c r="E786" s="5" t="s">
        <v>20</v>
      </c>
      <c r="F786" s="5" t="s">
        <v>60</v>
      </c>
      <c r="G786" s="5" t="s">
        <v>38</v>
      </c>
      <c r="H786" s="5" t="s">
        <v>51</v>
      </c>
      <c r="I786" s="5">
        <v>144</v>
      </c>
      <c r="J786" s="5">
        <v>610</v>
      </c>
      <c r="K786" s="5">
        <v>727.01</v>
      </c>
      <c r="L786" s="5">
        <v>309</v>
      </c>
      <c r="M786" s="5">
        <v>169</v>
      </c>
      <c r="N786" s="5">
        <v>6</v>
      </c>
      <c r="O786" s="5" t="s">
        <v>24</v>
      </c>
      <c r="P786" s="5">
        <v>2772</v>
      </c>
      <c r="Q786" s="5" t="s">
        <v>25</v>
      </c>
      <c r="R786" s="2">
        <v>104689.44</v>
      </c>
      <c r="S786" s="2">
        <v>16849.439999999999</v>
      </c>
      <c r="T786" s="1">
        <v>45880</v>
      </c>
      <c r="U786" s="5">
        <v>8</v>
      </c>
    </row>
    <row r="787" spans="1:21" x14ac:dyDescent="0.3">
      <c r="A787" s="5" t="s">
        <v>848</v>
      </c>
      <c r="B787" s="1">
        <v>45895</v>
      </c>
      <c r="C787" s="5" t="s">
        <v>27</v>
      </c>
      <c r="D787" s="5" t="s">
        <v>28</v>
      </c>
      <c r="E787" s="5" t="s">
        <v>20</v>
      </c>
      <c r="F787" s="5" t="s">
        <v>100</v>
      </c>
      <c r="G787" s="5" t="s">
        <v>31</v>
      </c>
      <c r="H787" s="5" t="s">
        <v>39</v>
      </c>
      <c r="I787" s="5">
        <v>90</v>
      </c>
      <c r="J787" s="5">
        <v>1029</v>
      </c>
      <c r="K787" s="5">
        <v>1419.37</v>
      </c>
      <c r="L787" s="5">
        <v>1285</v>
      </c>
      <c r="M787" s="5">
        <v>128</v>
      </c>
      <c r="N787" s="5">
        <v>9</v>
      </c>
      <c r="O787" s="5" t="s">
        <v>24</v>
      </c>
      <c r="P787" s="5">
        <v>7137</v>
      </c>
      <c r="Q787" s="5" t="s">
        <v>33</v>
      </c>
      <c r="R787" s="2">
        <v>127743.3</v>
      </c>
      <c r="S787" s="2">
        <v>35133.300000000003</v>
      </c>
      <c r="T787" s="1">
        <v>45895</v>
      </c>
      <c r="U787" s="5">
        <v>8</v>
      </c>
    </row>
    <row r="788" spans="1:21" x14ac:dyDescent="0.3">
      <c r="A788" s="5" t="s">
        <v>849</v>
      </c>
      <c r="B788" s="1">
        <v>45854</v>
      </c>
      <c r="C788" s="5" t="s">
        <v>18</v>
      </c>
      <c r="D788" s="5" t="s">
        <v>53</v>
      </c>
      <c r="E788" s="5" t="s">
        <v>29</v>
      </c>
      <c r="F788" s="5" t="s">
        <v>58</v>
      </c>
      <c r="G788" s="5" t="s">
        <v>31</v>
      </c>
      <c r="H788" s="5" t="s">
        <v>23</v>
      </c>
      <c r="I788" s="5">
        <v>205</v>
      </c>
      <c r="J788" s="5">
        <v>719</v>
      </c>
      <c r="K788" s="5">
        <v>983.46</v>
      </c>
      <c r="L788" s="5">
        <v>162</v>
      </c>
      <c r="M788" s="5">
        <v>96</v>
      </c>
      <c r="N788" s="5">
        <v>9</v>
      </c>
      <c r="O788" s="5" t="s">
        <v>24</v>
      </c>
      <c r="P788" s="5">
        <v>980</v>
      </c>
      <c r="Q788" s="5" t="s">
        <v>46</v>
      </c>
      <c r="R788" s="2">
        <v>201609.3</v>
      </c>
      <c r="S788" s="2">
        <v>54214.3</v>
      </c>
      <c r="T788" s="1">
        <v>45854</v>
      </c>
      <c r="U788" s="5">
        <v>7</v>
      </c>
    </row>
    <row r="789" spans="1:21" x14ac:dyDescent="0.3">
      <c r="A789" s="5" t="s">
        <v>850</v>
      </c>
      <c r="B789" s="1">
        <v>45958</v>
      </c>
      <c r="C789" s="5" t="s">
        <v>27</v>
      </c>
      <c r="D789" s="5" t="s">
        <v>36</v>
      </c>
      <c r="E789" s="5" t="s">
        <v>49</v>
      </c>
      <c r="F789" s="5" t="s">
        <v>50</v>
      </c>
      <c r="G789" s="5" t="s">
        <v>56</v>
      </c>
      <c r="H789" s="5" t="s">
        <v>39</v>
      </c>
      <c r="I789" s="5">
        <v>11</v>
      </c>
      <c r="J789" s="5">
        <v>989</v>
      </c>
      <c r="K789" s="5">
        <v>1204.31</v>
      </c>
      <c r="L789" s="5">
        <v>1953</v>
      </c>
      <c r="M789" s="5">
        <v>203</v>
      </c>
      <c r="N789" s="5">
        <v>10</v>
      </c>
      <c r="O789" s="5" t="s">
        <v>24</v>
      </c>
      <c r="P789" s="5">
        <v>3964</v>
      </c>
      <c r="Q789" s="5" t="s">
        <v>33</v>
      </c>
      <c r="R789" s="2">
        <v>13247.41</v>
      </c>
      <c r="S789" s="2">
        <v>2368.41</v>
      </c>
      <c r="T789" s="1">
        <v>45958</v>
      </c>
      <c r="U789" s="5">
        <v>10</v>
      </c>
    </row>
    <row r="790" spans="1:21" x14ac:dyDescent="0.3">
      <c r="A790" s="5" t="s">
        <v>851</v>
      </c>
      <c r="B790" s="1">
        <v>45815</v>
      </c>
      <c r="C790" s="5" t="s">
        <v>35</v>
      </c>
      <c r="D790" s="5" t="s">
        <v>36</v>
      </c>
      <c r="E790" s="5" t="s">
        <v>20</v>
      </c>
      <c r="F790" s="5" t="s">
        <v>21</v>
      </c>
      <c r="G790" s="5" t="s">
        <v>56</v>
      </c>
      <c r="H790" s="5" t="s">
        <v>23</v>
      </c>
      <c r="I790" s="5">
        <v>482</v>
      </c>
      <c r="J790" s="5">
        <v>3014</v>
      </c>
      <c r="K790" s="5">
        <v>3783.4</v>
      </c>
      <c r="L790" s="5">
        <v>113</v>
      </c>
      <c r="M790" s="5">
        <v>264</v>
      </c>
      <c r="N790" s="5">
        <v>4</v>
      </c>
      <c r="O790" s="5" t="s">
        <v>24</v>
      </c>
      <c r="P790" s="5">
        <v>1995</v>
      </c>
      <c r="Q790" s="5" t="s">
        <v>25</v>
      </c>
      <c r="R790" s="2">
        <v>1823598.8</v>
      </c>
      <c r="S790" s="2">
        <v>370850.8</v>
      </c>
      <c r="T790" s="1">
        <v>45815</v>
      </c>
      <c r="U790" s="5">
        <v>6</v>
      </c>
    </row>
    <row r="791" spans="1:21" x14ac:dyDescent="0.3">
      <c r="A791" s="5" t="s">
        <v>852</v>
      </c>
      <c r="B791" s="1">
        <v>45918</v>
      </c>
      <c r="C791" s="5" t="s">
        <v>42</v>
      </c>
      <c r="D791" s="5" t="s">
        <v>36</v>
      </c>
      <c r="E791" s="5" t="s">
        <v>54</v>
      </c>
      <c r="F791" s="5" t="s">
        <v>81</v>
      </c>
      <c r="G791" s="5" t="s">
        <v>22</v>
      </c>
      <c r="H791" s="5" t="s">
        <v>51</v>
      </c>
      <c r="I791" s="5">
        <v>433</v>
      </c>
      <c r="J791" s="5">
        <v>2866</v>
      </c>
      <c r="K791" s="5">
        <v>3546.9</v>
      </c>
      <c r="L791" s="5">
        <v>1522</v>
      </c>
      <c r="M791" s="5">
        <v>183</v>
      </c>
      <c r="N791" s="5">
        <v>5</v>
      </c>
      <c r="O791" s="5" t="s">
        <v>32</v>
      </c>
      <c r="P791" s="5">
        <v>1100</v>
      </c>
      <c r="Q791" s="5" t="s">
        <v>25</v>
      </c>
      <c r="R791" s="2">
        <v>1535807.7</v>
      </c>
      <c r="S791" s="2">
        <v>294829.7</v>
      </c>
      <c r="T791" s="1">
        <v>45918</v>
      </c>
      <c r="U791" s="5">
        <v>9</v>
      </c>
    </row>
    <row r="792" spans="1:21" x14ac:dyDescent="0.3">
      <c r="A792" s="5" t="s">
        <v>853</v>
      </c>
      <c r="B792" s="1">
        <v>45706</v>
      </c>
      <c r="C792" s="5" t="s">
        <v>35</v>
      </c>
      <c r="D792" s="5" t="s">
        <v>36</v>
      </c>
      <c r="E792" s="5" t="s">
        <v>20</v>
      </c>
      <c r="F792" s="5" t="s">
        <v>60</v>
      </c>
      <c r="G792" s="5" t="s">
        <v>22</v>
      </c>
      <c r="H792" s="5" t="s">
        <v>39</v>
      </c>
      <c r="I792" s="5">
        <v>412</v>
      </c>
      <c r="J792" s="5">
        <v>721</v>
      </c>
      <c r="K792" s="5">
        <v>1056.29</v>
      </c>
      <c r="L792" s="5">
        <v>334</v>
      </c>
      <c r="M792" s="5">
        <v>294</v>
      </c>
      <c r="N792" s="5">
        <v>3</v>
      </c>
      <c r="O792" s="5" t="s">
        <v>32</v>
      </c>
      <c r="P792" s="5">
        <v>1143</v>
      </c>
      <c r="Q792" s="5" t="s">
        <v>33</v>
      </c>
      <c r="R792" s="2">
        <v>435191.48</v>
      </c>
      <c r="S792" s="2">
        <v>138139.48000000001</v>
      </c>
      <c r="T792" s="1">
        <v>45706</v>
      </c>
      <c r="U792" s="5">
        <v>2</v>
      </c>
    </row>
    <row r="793" spans="1:21" x14ac:dyDescent="0.3">
      <c r="A793" s="5" t="s">
        <v>854</v>
      </c>
      <c r="B793" s="1">
        <v>45964</v>
      </c>
      <c r="C793" s="5" t="s">
        <v>35</v>
      </c>
      <c r="D793" s="5" t="s">
        <v>53</v>
      </c>
      <c r="E793" s="5" t="s">
        <v>20</v>
      </c>
      <c r="F793" s="5" t="s">
        <v>37</v>
      </c>
      <c r="G793" s="5" t="s">
        <v>38</v>
      </c>
      <c r="H793" s="5" t="s">
        <v>51</v>
      </c>
      <c r="I793" s="5">
        <v>152</v>
      </c>
      <c r="J793" s="5">
        <v>1922</v>
      </c>
      <c r="K793" s="5">
        <v>2710.63</v>
      </c>
      <c r="L793" s="5">
        <v>572</v>
      </c>
      <c r="M793" s="5">
        <v>286</v>
      </c>
      <c r="N793" s="5">
        <v>2</v>
      </c>
      <c r="O793" s="5" t="s">
        <v>32</v>
      </c>
      <c r="P793" s="5">
        <v>1210</v>
      </c>
      <c r="Q793" s="5" t="s">
        <v>25</v>
      </c>
      <c r="R793" s="2">
        <v>412015.76</v>
      </c>
      <c r="S793" s="2">
        <v>119871.76</v>
      </c>
      <c r="T793" s="1">
        <v>45964</v>
      </c>
      <c r="U793" s="5">
        <v>11</v>
      </c>
    </row>
    <row r="794" spans="1:21" x14ac:dyDescent="0.3">
      <c r="A794" s="5" t="s">
        <v>855</v>
      </c>
      <c r="B794" s="1">
        <v>46008</v>
      </c>
      <c r="C794" s="5" t="s">
        <v>42</v>
      </c>
      <c r="D794" s="5" t="s">
        <v>36</v>
      </c>
      <c r="E794" s="5" t="s">
        <v>20</v>
      </c>
      <c r="F794" s="5" t="s">
        <v>60</v>
      </c>
      <c r="G794" s="5" t="s">
        <v>38</v>
      </c>
      <c r="H794" s="5" t="s">
        <v>39</v>
      </c>
      <c r="I794" s="5">
        <v>88</v>
      </c>
      <c r="J794" s="5">
        <v>1356</v>
      </c>
      <c r="K794" s="5">
        <v>1832.51</v>
      </c>
      <c r="L794" s="5">
        <v>1080</v>
      </c>
      <c r="M794" s="5">
        <v>229</v>
      </c>
      <c r="N794" s="5">
        <v>10</v>
      </c>
      <c r="O794" s="5" t="s">
        <v>24</v>
      </c>
      <c r="P794" s="5">
        <v>2781</v>
      </c>
      <c r="Q794" s="5" t="s">
        <v>25</v>
      </c>
      <c r="R794" s="2">
        <v>161260.88</v>
      </c>
      <c r="S794" s="2">
        <v>41932.879999999997</v>
      </c>
      <c r="T794" s="1">
        <v>46008</v>
      </c>
      <c r="U794" s="5">
        <v>12</v>
      </c>
    </row>
    <row r="795" spans="1:21" x14ac:dyDescent="0.3">
      <c r="A795" s="5" t="s">
        <v>856</v>
      </c>
      <c r="B795" s="1">
        <v>45777</v>
      </c>
      <c r="C795" s="5" t="s">
        <v>27</v>
      </c>
      <c r="D795" s="5" t="s">
        <v>28</v>
      </c>
      <c r="E795" s="5" t="s">
        <v>20</v>
      </c>
      <c r="F795" s="5" t="s">
        <v>21</v>
      </c>
      <c r="G795" s="5" t="s">
        <v>38</v>
      </c>
      <c r="H795" s="5" t="s">
        <v>39</v>
      </c>
      <c r="I795" s="5">
        <v>117</v>
      </c>
      <c r="J795" s="5">
        <v>867</v>
      </c>
      <c r="K795" s="5">
        <v>1141.76</v>
      </c>
      <c r="L795" s="5">
        <v>1983</v>
      </c>
      <c r="M795" s="5">
        <v>282</v>
      </c>
      <c r="N795" s="5">
        <v>3</v>
      </c>
      <c r="O795" s="5" t="s">
        <v>24</v>
      </c>
      <c r="P795" s="5">
        <v>1823</v>
      </c>
      <c r="Q795" s="5" t="s">
        <v>25</v>
      </c>
      <c r="R795" s="2">
        <v>133585.92000000001</v>
      </c>
      <c r="S795" s="2">
        <v>32146.92</v>
      </c>
      <c r="T795" s="1">
        <v>45777</v>
      </c>
      <c r="U795" s="5">
        <v>4</v>
      </c>
    </row>
    <row r="796" spans="1:21" x14ac:dyDescent="0.3">
      <c r="A796" s="5" t="s">
        <v>857</v>
      </c>
      <c r="B796" s="1">
        <v>45803</v>
      </c>
      <c r="C796" s="5" t="s">
        <v>35</v>
      </c>
      <c r="D796" s="5" t="s">
        <v>62</v>
      </c>
      <c r="E796" s="5" t="s">
        <v>29</v>
      </c>
      <c r="F796" s="5" t="s">
        <v>43</v>
      </c>
      <c r="G796" s="5" t="s">
        <v>56</v>
      </c>
      <c r="H796" s="5" t="s">
        <v>51</v>
      </c>
      <c r="I796" s="5">
        <v>44</v>
      </c>
      <c r="J796" s="5">
        <v>481</v>
      </c>
      <c r="K796" s="5">
        <v>705.72</v>
      </c>
      <c r="L796" s="5">
        <v>351</v>
      </c>
      <c r="M796" s="5">
        <v>283</v>
      </c>
      <c r="N796" s="5">
        <v>7</v>
      </c>
      <c r="O796" s="5" t="s">
        <v>24</v>
      </c>
      <c r="P796" s="5">
        <v>5049</v>
      </c>
      <c r="Q796" s="5" t="s">
        <v>46</v>
      </c>
      <c r="R796" s="2">
        <v>31051.68</v>
      </c>
      <c r="S796" s="2">
        <v>9887.68</v>
      </c>
      <c r="T796" s="1">
        <v>45803</v>
      </c>
      <c r="U796" s="5">
        <v>5</v>
      </c>
    </row>
    <row r="797" spans="1:21" x14ac:dyDescent="0.3">
      <c r="A797" s="5" t="s">
        <v>858</v>
      </c>
      <c r="B797" s="1">
        <v>45951</v>
      </c>
      <c r="C797" s="5" t="s">
        <v>42</v>
      </c>
      <c r="D797" s="5" t="s">
        <v>62</v>
      </c>
      <c r="E797" s="5" t="s">
        <v>54</v>
      </c>
      <c r="F797" s="5" t="s">
        <v>87</v>
      </c>
      <c r="G797" s="5" t="s">
        <v>56</v>
      </c>
      <c r="H797" s="5" t="s">
        <v>23</v>
      </c>
      <c r="I797" s="5">
        <v>234</v>
      </c>
      <c r="J797" s="5">
        <v>1432</v>
      </c>
      <c r="K797" s="5">
        <v>1989.09</v>
      </c>
      <c r="L797" s="5">
        <v>821</v>
      </c>
      <c r="M797" s="5">
        <v>229</v>
      </c>
      <c r="N797" s="5">
        <v>6</v>
      </c>
      <c r="O797" s="5" t="s">
        <v>24</v>
      </c>
      <c r="P797" s="5">
        <v>451</v>
      </c>
      <c r="Q797" s="5" t="s">
        <v>46</v>
      </c>
      <c r="R797" s="2">
        <v>465447.06</v>
      </c>
      <c r="S797" s="2">
        <v>130359.06</v>
      </c>
      <c r="T797" s="1">
        <v>45951</v>
      </c>
      <c r="U797" s="5">
        <v>10</v>
      </c>
    </row>
    <row r="798" spans="1:21" x14ac:dyDescent="0.3">
      <c r="A798" s="5" t="s">
        <v>859</v>
      </c>
      <c r="B798" s="1">
        <v>45973</v>
      </c>
      <c r="C798" s="5" t="s">
        <v>27</v>
      </c>
      <c r="D798" s="5" t="s">
        <v>19</v>
      </c>
      <c r="E798" s="5" t="s">
        <v>29</v>
      </c>
      <c r="F798" s="5" t="s">
        <v>69</v>
      </c>
      <c r="G798" s="5" t="s">
        <v>31</v>
      </c>
      <c r="H798" s="5" t="s">
        <v>39</v>
      </c>
      <c r="I798" s="5">
        <v>409</v>
      </c>
      <c r="J798" s="5">
        <v>1515</v>
      </c>
      <c r="K798" s="5">
        <v>1778.98</v>
      </c>
      <c r="L798" s="5">
        <v>208</v>
      </c>
      <c r="M798" s="5">
        <v>185</v>
      </c>
      <c r="N798" s="5">
        <v>9</v>
      </c>
      <c r="O798" s="5" t="s">
        <v>24</v>
      </c>
      <c r="P798" s="5">
        <v>7447</v>
      </c>
      <c r="Q798" s="5" t="s">
        <v>25</v>
      </c>
      <c r="R798" s="2">
        <v>727602.82</v>
      </c>
      <c r="S798" s="2">
        <v>107967.82</v>
      </c>
      <c r="T798" s="1">
        <v>45973</v>
      </c>
      <c r="U798" s="5">
        <v>11</v>
      </c>
    </row>
    <row r="799" spans="1:21" x14ac:dyDescent="0.3">
      <c r="A799" s="5" t="s">
        <v>860</v>
      </c>
      <c r="B799" s="1">
        <v>45726</v>
      </c>
      <c r="C799" s="5" t="s">
        <v>27</v>
      </c>
      <c r="D799" s="5" t="s">
        <v>19</v>
      </c>
      <c r="E799" s="5" t="s">
        <v>29</v>
      </c>
      <c r="F799" s="5" t="s">
        <v>30</v>
      </c>
      <c r="G799" s="5" t="s">
        <v>31</v>
      </c>
      <c r="H799" s="5" t="s">
        <v>39</v>
      </c>
      <c r="I799" s="5">
        <v>320</v>
      </c>
      <c r="J799" s="5">
        <v>2858</v>
      </c>
      <c r="K799" s="5">
        <v>3734.86</v>
      </c>
      <c r="L799" s="5">
        <v>763</v>
      </c>
      <c r="M799" s="5">
        <v>159</v>
      </c>
      <c r="N799" s="5">
        <v>5</v>
      </c>
      <c r="O799" s="5" t="s">
        <v>32</v>
      </c>
      <c r="P799" s="5">
        <v>6838</v>
      </c>
      <c r="Q799" s="5" t="s">
        <v>33</v>
      </c>
      <c r="R799" s="2">
        <v>1195155.2</v>
      </c>
      <c r="S799" s="2">
        <v>280595.20000000001</v>
      </c>
      <c r="T799" s="1">
        <v>45726</v>
      </c>
      <c r="U799" s="5">
        <v>3</v>
      </c>
    </row>
    <row r="800" spans="1:21" x14ac:dyDescent="0.3">
      <c r="A800" s="5" t="s">
        <v>861</v>
      </c>
      <c r="B800" s="1">
        <v>45932</v>
      </c>
      <c r="C800" s="5" t="s">
        <v>35</v>
      </c>
      <c r="D800" s="5" t="s">
        <v>19</v>
      </c>
      <c r="E800" s="5" t="s">
        <v>29</v>
      </c>
      <c r="F800" s="5" t="s">
        <v>69</v>
      </c>
      <c r="G800" s="5" t="s">
        <v>38</v>
      </c>
      <c r="H800" s="5" t="s">
        <v>39</v>
      </c>
      <c r="I800" s="5">
        <v>51</v>
      </c>
      <c r="J800" s="5">
        <v>2480</v>
      </c>
      <c r="K800" s="5">
        <v>3573.35</v>
      </c>
      <c r="L800" s="5">
        <v>305</v>
      </c>
      <c r="M800" s="5">
        <v>138</v>
      </c>
      <c r="N800" s="5">
        <v>9</v>
      </c>
      <c r="O800" s="5" t="s">
        <v>24</v>
      </c>
      <c r="P800" s="5">
        <v>7647</v>
      </c>
      <c r="Q800" s="5" t="s">
        <v>33</v>
      </c>
      <c r="R800" s="2">
        <v>182240.85</v>
      </c>
      <c r="S800" s="2">
        <v>55760.85</v>
      </c>
      <c r="T800" s="1">
        <v>45932</v>
      </c>
      <c r="U800" s="5">
        <v>10</v>
      </c>
    </row>
    <row r="801" spans="1:21" x14ac:dyDescent="0.3">
      <c r="A801" s="5" t="s">
        <v>862</v>
      </c>
      <c r="B801" s="1">
        <v>45873</v>
      </c>
      <c r="C801" s="5" t="s">
        <v>18</v>
      </c>
      <c r="D801" s="5" t="s">
        <v>62</v>
      </c>
      <c r="E801" s="5" t="s">
        <v>29</v>
      </c>
      <c r="F801" s="5" t="s">
        <v>30</v>
      </c>
      <c r="G801" s="5" t="s">
        <v>38</v>
      </c>
      <c r="H801" s="5" t="s">
        <v>51</v>
      </c>
      <c r="I801" s="5">
        <v>40</v>
      </c>
      <c r="J801" s="5">
        <v>4169</v>
      </c>
      <c r="K801" s="5">
        <v>5889.23</v>
      </c>
      <c r="L801" s="5">
        <v>1744</v>
      </c>
      <c r="M801" s="5">
        <v>225</v>
      </c>
      <c r="N801" s="5">
        <v>3</v>
      </c>
      <c r="O801" s="5" t="s">
        <v>32</v>
      </c>
      <c r="P801" s="5">
        <v>5432</v>
      </c>
      <c r="Q801" s="5" t="s">
        <v>33</v>
      </c>
      <c r="R801" s="2">
        <v>235569.2</v>
      </c>
      <c r="S801" s="2">
        <v>68809.2</v>
      </c>
      <c r="T801" s="1">
        <v>45873</v>
      </c>
      <c r="U801" s="5">
        <v>8</v>
      </c>
    </row>
    <row r="802" spans="1:21" x14ac:dyDescent="0.3">
      <c r="A802" s="5" t="s">
        <v>863</v>
      </c>
      <c r="B802" s="1">
        <v>45873</v>
      </c>
      <c r="C802" s="5" t="s">
        <v>18</v>
      </c>
      <c r="D802" s="5" t="s">
        <v>36</v>
      </c>
      <c r="E802" s="5" t="s">
        <v>20</v>
      </c>
      <c r="F802" s="5" t="s">
        <v>45</v>
      </c>
      <c r="G802" s="5" t="s">
        <v>38</v>
      </c>
      <c r="H802" s="5" t="s">
        <v>39</v>
      </c>
      <c r="I802" s="5">
        <v>265</v>
      </c>
      <c r="J802" s="5">
        <v>1351</v>
      </c>
      <c r="K802" s="5">
        <v>1930.58</v>
      </c>
      <c r="L802" s="5">
        <v>1178</v>
      </c>
      <c r="M802" s="5">
        <v>217</v>
      </c>
      <c r="N802" s="5">
        <v>2</v>
      </c>
      <c r="O802" s="5" t="s">
        <v>24</v>
      </c>
      <c r="P802" s="5">
        <v>2516</v>
      </c>
      <c r="Q802" s="5" t="s">
        <v>25</v>
      </c>
      <c r="R802" s="2">
        <v>511603.7</v>
      </c>
      <c r="S802" s="2">
        <v>153588.70000000001</v>
      </c>
      <c r="T802" s="1">
        <v>45873</v>
      </c>
      <c r="U802" s="5">
        <v>8</v>
      </c>
    </row>
    <row r="803" spans="1:21" x14ac:dyDescent="0.3">
      <c r="A803" s="5" t="s">
        <v>864</v>
      </c>
      <c r="B803" s="1">
        <v>45777</v>
      </c>
      <c r="C803" s="5" t="s">
        <v>42</v>
      </c>
      <c r="D803" s="5" t="s">
        <v>36</v>
      </c>
      <c r="E803" s="5" t="s">
        <v>29</v>
      </c>
      <c r="F803" s="5" t="s">
        <v>43</v>
      </c>
      <c r="G803" s="5" t="s">
        <v>31</v>
      </c>
      <c r="H803" s="5" t="s">
        <v>39</v>
      </c>
      <c r="I803" s="5">
        <v>222</v>
      </c>
      <c r="J803" s="5">
        <v>2362</v>
      </c>
      <c r="K803" s="5">
        <v>3061.61</v>
      </c>
      <c r="L803" s="5">
        <v>585</v>
      </c>
      <c r="M803" s="5">
        <v>112</v>
      </c>
      <c r="N803" s="5">
        <v>7</v>
      </c>
      <c r="O803" s="5" t="s">
        <v>24</v>
      </c>
      <c r="P803" s="5">
        <v>4101</v>
      </c>
      <c r="Q803" s="5" t="s">
        <v>25</v>
      </c>
      <c r="R803" s="2">
        <v>679677.42</v>
      </c>
      <c r="S803" s="2">
        <v>155313.42000000001</v>
      </c>
      <c r="T803" s="1">
        <v>45777</v>
      </c>
      <c r="U803" s="5">
        <v>4</v>
      </c>
    </row>
    <row r="804" spans="1:21" x14ac:dyDescent="0.3">
      <c r="A804" s="5" t="s">
        <v>865</v>
      </c>
      <c r="B804" s="1">
        <v>45871</v>
      </c>
      <c r="C804" s="5" t="s">
        <v>35</v>
      </c>
      <c r="D804" s="5" t="s">
        <v>28</v>
      </c>
      <c r="E804" s="5" t="s">
        <v>49</v>
      </c>
      <c r="F804" s="5" t="s">
        <v>94</v>
      </c>
      <c r="G804" s="5" t="s">
        <v>31</v>
      </c>
      <c r="H804" s="5" t="s">
        <v>51</v>
      </c>
      <c r="I804" s="5">
        <v>102</v>
      </c>
      <c r="J804" s="5">
        <v>364</v>
      </c>
      <c r="K804" s="5">
        <v>536.9</v>
      </c>
      <c r="L804" s="5">
        <v>395</v>
      </c>
      <c r="M804" s="5">
        <v>288</v>
      </c>
      <c r="N804" s="5">
        <v>7</v>
      </c>
      <c r="O804" s="5" t="s">
        <v>24</v>
      </c>
      <c r="P804" s="5">
        <v>761</v>
      </c>
      <c r="Q804" s="5" t="s">
        <v>25</v>
      </c>
      <c r="R804" s="2">
        <v>54763.8</v>
      </c>
      <c r="S804" s="2">
        <v>17635.8</v>
      </c>
      <c r="T804" s="1">
        <v>45871</v>
      </c>
      <c r="U804" s="5">
        <v>8</v>
      </c>
    </row>
    <row r="805" spans="1:21" x14ac:dyDescent="0.3">
      <c r="A805" s="5" t="s">
        <v>866</v>
      </c>
      <c r="B805" s="1">
        <v>45952</v>
      </c>
      <c r="C805" s="5" t="s">
        <v>42</v>
      </c>
      <c r="D805" s="5" t="s">
        <v>28</v>
      </c>
      <c r="E805" s="5" t="s">
        <v>49</v>
      </c>
      <c r="F805" s="5" t="s">
        <v>89</v>
      </c>
      <c r="G805" s="5" t="s">
        <v>38</v>
      </c>
      <c r="H805" s="5" t="s">
        <v>23</v>
      </c>
      <c r="I805" s="5">
        <v>72</v>
      </c>
      <c r="J805" s="5">
        <v>2323</v>
      </c>
      <c r="K805" s="5">
        <v>2729.24</v>
      </c>
      <c r="L805" s="5">
        <v>1310</v>
      </c>
      <c r="M805" s="5">
        <v>127</v>
      </c>
      <c r="N805" s="5">
        <v>6</v>
      </c>
      <c r="O805" s="5" t="s">
        <v>24</v>
      </c>
      <c r="P805" s="5">
        <v>6976</v>
      </c>
      <c r="Q805" s="5" t="s">
        <v>46</v>
      </c>
      <c r="R805" s="2">
        <v>196505.28</v>
      </c>
      <c r="S805" s="2">
        <v>29249.279999999999</v>
      </c>
      <c r="T805" s="1">
        <v>45952</v>
      </c>
      <c r="U805" s="5">
        <v>10</v>
      </c>
    </row>
    <row r="806" spans="1:21" x14ac:dyDescent="0.3">
      <c r="A806" s="5" t="s">
        <v>867</v>
      </c>
      <c r="B806" s="1">
        <v>45857</v>
      </c>
      <c r="C806" s="5" t="s">
        <v>18</v>
      </c>
      <c r="D806" s="5" t="s">
        <v>28</v>
      </c>
      <c r="E806" s="5" t="s">
        <v>49</v>
      </c>
      <c r="F806" s="5" t="s">
        <v>89</v>
      </c>
      <c r="G806" s="5" t="s">
        <v>56</v>
      </c>
      <c r="H806" s="5" t="s">
        <v>23</v>
      </c>
      <c r="I806" s="5">
        <v>154</v>
      </c>
      <c r="J806" s="5">
        <v>3837</v>
      </c>
      <c r="K806" s="5">
        <v>4618.17</v>
      </c>
      <c r="L806" s="5">
        <v>1307</v>
      </c>
      <c r="M806" s="5">
        <v>254</v>
      </c>
      <c r="N806" s="5">
        <v>10</v>
      </c>
      <c r="O806" s="5" t="s">
        <v>24</v>
      </c>
      <c r="P806" s="5">
        <v>4162</v>
      </c>
      <c r="Q806" s="5" t="s">
        <v>25</v>
      </c>
      <c r="R806" s="2">
        <v>711198.18</v>
      </c>
      <c r="S806" s="2">
        <v>120300.18</v>
      </c>
      <c r="T806" s="1">
        <v>45857</v>
      </c>
      <c r="U806" s="5">
        <v>7</v>
      </c>
    </row>
    <row r="807" spans="1:21" x14ac:dyDescent="0.3">
      <c r="A807" s="5" t="s">
        <v>868</v>
      </c>
      <c r="B807" s="1">
        <v>45684</v>
      </c>
      <c r="C807" s="5" t="s">
        <v>18</v>
      </c>
      <c r="D807" s="5" t="s">
        <v>19</v>
      </c>
      <c r="E807" s="5" t="s">
        <v>20</v>
      </c>
      <c r="F807" s="5" t="s">
        <v>45</v>
      </c>
      <c r="G807" s="5" t="s">
        <v>22</v>
      </c>
      <c r="H807" s="5" t="s">
        <v>39</v>
      </c>
      <c r="I807" s="5">
        <v>148</v>
      </c>
      <c r="J807" s="5">
        <v>3294</v>
      </c>
      <c r="K807" s="5">
        <v>4639.1400000000003</v>
      </c>
      <c r="L807" s="5">
        <v>518</v>
      </c>
      <c r="M807" s="5">
        <v>133</v>
      </c>
      <c r="N807" s="5">
        <v>6</v>
      </c>
      <c r="O807" s="5" t="s">
        <v>24</v>
      </c>
      <c r="P807" s="5">
        <v>4309</v>
      </c>
      <c r="Q807" s="5" t="s">
        <v>25</v>
      </c>
      <c r="R807" s="2">
        <v>686592.72</v>
      </c>
      <c r="S807" s="2">
        <v>199080.72</v>
      </c>
      <c r="T807" s="1">
        <v>45684</v>
      </c>
      <c r="U807" s="5">
        <v>1</v>
      </c>
    </row>
    <row r="808" spans="1:21" x14ac:dyDescent="0.3">
      <c r="A808" s="5" t="s">
        <v>869</v>
      </c>
      <c r="B808" s="1">
        <v>45854</v>
      </c>
      <c r="C808" s="5" t="s">
        <v>18</v>
      </c>
      <c r="D808" s="5" t="s">
        <v>19</v>
      </c>
      <c r="E808" s="5" t="s">
        <v>20</v>
      </c>
      <c r="F808" s="5" t="s">
        <v>100</v>
      </c>
      <c r="G808" s="5" t="s">
        <v>38</v>
      </c>
      <c r="H808" s="5" t="s">
        <v>51</v>
      </c>
      <c r="I808" s="5">
        <v>24</v>
      </c>
      <c r="J808" s="5">
        <v>2135</v>
      </c>
      <c r="K808" s="5">
        <v>3015.09</v>
      </c>
      <c r="L808" s="5">
        <v>642</v>
      </c>
      <c r="M808" s="5">
        <v>246</v>
      </c>
      <c r="N808" s="5">
        <v>4</v>
      </c>
      <c r="O808" s="5" t="s">
        <v>32</v>
      </c>
      <c r="P808" s="5">
        <v>1083</v>
      </c>
      <c r="Q808" s="5" t="s">
        <v>33</v>
      </c>
      <c r="R808" s="2">
        <v>72362.16</v>
      </c>
      <c r="S808" s="2">
        <v>21122.16</v>
      </c>
      <c r="T808" s="1">
        <v>45854</v>
      </c>
      <c r="U808" s="5">
        <v>7</v>
      </c>
    </row>
    <row r="809" spans="1:21" x14ac:dyDescent="0.3">
      <c r="A809" s="5" t="s">
        <v>870</v>
      </c>
      <c r="B809" s="1">
        <v>45957</v>
      </c>
      <c r="C809" s="5" t="s">
        <v>35</v>
      </c>
      <c r="D809" s="5" t="s">
        <v>28</v>
      </c>
      <c r="E809" s="5" t="s">
        <v>20</v>
      </c>
      <c r="F809" s="5" t="s">
        <v>100</v>
      </c>
      <c r="G809" s="5" t="s">
        <v>56</v>
      </c>
      <c r="H809" s="5" t="s">
        <v>51</v>
      </c>
      <c r="I809" s="5">
        <v>213</v>
      </c>
      <c r="J809" s="5">
        <v>4138</v>
      </c>
      <c r="K809" s="5">
        <v>5260.27</v>
      </c>
      <c r="L809" s="5">
        <v>1028</v>
      </c>
      <c r="M809" s="5">
        <v>240</v>
      </c>
      <c r="N809" s="5">
        <v>4</v>
      </c>
      <c r="O809" s="5" t="s">
        <v>32</v>
      </c>
      <c r="P809" s="5">
        <v>425</v>
      </c>
      <c r="Q809" s="5" t="s">
        <v>33</v>
      </c>
      <c r="R809" s="2">
        <v>1120437.51</v>
      </c>
      <c r="S809" s="2">
        <v>239043.51</v>
      </c>
      <c r="T809" s="1">
        <v>45957</v>
      </c>
      <c r="U809" s="5">
        <v>10</v>
      </c>
    </row>
    <row r="810" spans="1:21" x14ac:dyDescent="0.3">
      <c r="A810" s="5" t="s">
        <v>871</v>
      </c>
      <c r="B810" s="1">
        <v>45722</v>
      </c>
      <c r="C810" s="5" t="s">
        <v>42</v>
      </c>
      <c r="D810" s="5" t="s">
        <v>28</v>
      </c>
      <c r="E810" s="5" t="s">
        <v>20</v>
      </c>
      <c r="F810" s="5" t="s">
        <v>60</v>
      </c>
      <c r="G810" s="5" t="s">
        <v>56</v>
      </c>
      <c r="H810" s="5" t="s">
        <v>51</v>
      </c>
      <c r="I810" s="5">
        <v>190</v>
      </c>
      <c r="J810" s="5">
        <v>820</v>
      </c>
      <c r="K810" s="5">
        <v>1039.77</v>
      </c>
      <c r="L810" s="5">
        <v>1911</v>
      </c>
      <c r="M810" s="5">
        <v>241</v>
      </c>
      <c r="N810" s="5">
        <v>4</v>
      </c>
      <c r="O810" s="5" t="s">
        <v>32</v>
      </c>
      <c r="P810" s="5">
        <v>7764</v>
      </c>
      <c r="Q810" s="5" t="s">
        <v>33</v>
      </c>
      <c r="R810" s="2">
        <v>197556.3</v>
      </c>
      <c r="S810" s="2">
        <v>41756.300000000003</v>
      </c>
      <c r="T810" s="1">
        <v>45722</v>
      </c>
      <c r="U810" s="5">
        <v>3</v>
      </c>
    </row>
    <row r="811" spans="1:21" x14ac:dyDescent="0.3">
      <c r="A811" s="5" t="s">
        <v>872</v>
      </c>
      <c r="B811" s="1">
        <v>46009</v>
      </c>
      <c r="C811" s="5" t="s">
        <v>42</v>
      </c>
      <c r="D811" s="5" t="s">
        <v>28</v>
      </c>
      <c r="E811" s="5" t="s">
        <v>29</v>
      </c>
      <c r="F811" s="5" t="s">
        <v>69</v>
      </c>
      <c r="G811" s="5" t="s">
        <v>22</v>
      </c>
      <c r="H811" s="5" t="s">
        <v>39</v>
      </c>
      <c r="I811" s="5">
        <v>443</v>
      </c>
      <c r="J811" s="5">
        <v>1966</v>
      </c>
      <c r="K811" s="5">
        <v>2270.1</v>
      </c>
      <c r="L811" s="5">
        <v>840</v>
      </c>
      <c r="M811" s="5">
        <v>209</v>
      </c>
      <c r="N811" s="5">
        <v>10</v>
      </c>
      <c r="O811" s="5" t="s">
        <v>24</v>
      </c>
      <c r="P811" s="5">
        <v>7911</v>
      </c>
      <c r="Q811" s="5" t="s">
        <v>46</v>
      </c>
      <c r="R811" s="2">
        <v>1005654.3</v>
      </c>
      <c r="S811" s="2">
        <v>134716.29999999999</v>
      </c>
      <c r="T811" s="1">
        <v>46009</v>
      </c>
      <c r="U811" s="5">
        <v>12</v>
      </c>
    </row>
    <row r="812" spans="1:21" x14ac:dyDescent="0.3">
      <c r="A812" s="5" t="s">
        <v>873</v>
      </c>
      <c r="B812" s="1">
        <v>45968</v>
      </c>
      <c r="C812" s="5" t="s">
        <v>42</v>
      </c>
      <c r="D812" s="5" t="s">
        <v>19</v>
      </c>
      <c r="E812" s="5" t="s">
        <v>29</v>
      </c>
      <c r="F812" s="5" t="s">
        <v>30</v>
      </c>
      <c r="G812" s="5" t="s">
        <v>38</v>
      </c>
      <c r="H812" s="5" t="s">
        <v>23</v>
      </c>
      <c r="I812" s="5">
        <v>353</v>
      </c>
      <c r="J812" s="5">
        <v>4403</v>
      </c>
      <c r="K812" s="5">
        <v>6111.14</v>
      </c>
      <c r="L812" s="5">
        <v>73</v>
      </c>
      <c r="M812" s="5">
        <v>273</v>
      </c>
      <c r="N812" s="5">
        <v>8</v>
      </c>
      <c r="O812" s="5" t="s">
        <v>24</v>
      </c>
      <c r="P812" s="5">
        <v>2873</v>
      </c>
      <c r="Q812" s="5" t="s">
        <v>33</v>
      </c>
      <c r="R812" s="2">
        <v>2157232.42</v>
      </c>
      <c r="S812" s="2">
        <v>602973.42000000004</v>
      </c>
      <c r="T812" s="1">
        <v>45968</v>
      </c>
      <c r="U812" s="5">
        <v>11</v>
      </c>
    </row>
    <row r="813" spans="1:21" x14ac:dyDescent="0.3">
      <c r="A813" s="5" t="s">
        <v>874</v>
      </c>
      <c r="B813" s="1">
        <v>45731</v>
      </c>
      <c r="C813" s="5" t="s">
        <v>35</v>
      </c>
      <c r="D813" s="5" t="s">
        <v>62</v>
      </c>
      <c r="E813" s="5" t="s">
        <v>49</v>
      </c>
      <c r="F813" s="5" t="s">
        <v>75</v>
      </c>
      <c r="G813" s="5" t="s">
        <v>38</v>
      </c>
      <c r="H813" s="5" t="s">
        <v>23</v>
      </c>
      <c r="I813" s="5">
        <v>175</v>
      </c>
      <c r="J813" s="5">
        <v>3590</v>
      </c>
      <c r="K813" s="5">
        <v>4803.22</v>
      </c>
      <c r="L813" s="5">
        <v>1213</v>
      </c>
      <c r="M813" s="5">
        <v>88</v>
      </c>
      <c r="N813" s="5">
        <v>1</v>
      </c>
      <c r="O813" s="5" t="s">
        <v>32</v>
      </c>
      <c r="P813" s="5">
        <v>4369</v>
      </c>
      <c r="Q813" s="5" t="s">
        <v>33</v>
      </c>
      <c r="R813" s="2">
        <v>840563.5</v>
      </c>
      <c r="S813" s="2">
        <v>212313.5</v>
      </c>
      <c r="T813" s="1">
        <v>45731</v>
      </c>
      <c r="U813" s="5">
        <v>3</v>
      </c>
    </row>
    <row r="814" spans="1:21" x14ac:dyDescent="0.3">
      <c r="A814" s="5" t="s">
        <v>875</v>
      </c>
      <c r="B814" s="1">
        <v>45764</v>
      </c>
      <c r="C814" s="5" t="s">
        <v>18</v>
      </c>
      <c r="D814" s="5" t="s">
        <v>28</v>
      </c>
      <c r="E814" s="5" t="s">
        <v>20</v>
      </c>
      <c r="F814" s="5" t="s">
        <v>100</v>
      </c>
      <c r="G814" s="5" t="s">
        <v>22</v>
      </c>
      <c r="H814" s="5" t="s">
        <v>39</v>
      </c>
      <c r="I814" s="5">
        <v>297</v>
      </c>
      <c r="J814" s="5">
        <v>3724</v>
      </c>
      <c r="K814" s="5">
        <v>4339</v>
      </c>
      <c r="L814" s="5">
        <v>836</v>
      </c>
      <c r="M814" s="5">
        <v>250</v>
      </c>
      <c r="N814" s="5">
        <v>4</v>
      </c>
      <c r="O814" s="5" t="s">
        <v>32</v>
      </c>
      <c r="P814" s="5">
        <v>1362</v>
      </c>
      <c r="Q814" s="5" t="s">
        <v>33</v>
      </c>
      <c r="R814" s="2">
        <v>1288683</v>
      </c>
      <c r="S814" s="2">
        <v>182655</v>
      </c>
      <c r="T814" s="1">
        <v>45764</v>
      </c>
      <c r="U814" s="5">
        <v>4</v>
      </c>
    </row>
    <row r="815" spans="1:21" x14ac:dyDescent="0.3">
      <c r="A815" s="5" t="s">
        <v>876</v>
      </c>
      <c r="B815" s="1">
        <v>45707</v>
      </c>
      <c r="C815" s="5" t="s">
        <v>27</v>
      </c>
      <c r="D815" s="5" t="s">
        <v>36</v>
      </c>
      <c r="E815" s="5" t="s">
        <v>54</v>
      </c>
      <c r="F815" s="5" t="s">
        <v>63</v>
      </c>
      <c r="G815" s="5" t="s">
        <v>38</v>
      </c>
      <c r="H815" s="5" t="s">
        <v>23</v>
      </c>
      <c r="I815" s="5">
        <v>171</v>
      </c>
      <c r="J815" s="5">
        <v>1667</v>
      </c>
      <c r="K815" s="5">
        <v>1970.32</v>
      </c>
      <c r="L815" s="5">
        <v>1428</v>
      </c>
      <c r="M815" s="5">
        <v>145</v>
      </c>
      <c r="N815" s="5">
        <v>3</v>
      </c>
      <c r="O815" s="5" t="s">
        <v>32</v>
      </c>
      <c r="P815" s="5">
        <v>1687</v>
      </c>
      <c r="Q815" s="5" t="s">
        <v>33</v>
      </c>
      <c r="R815" s="2">
        <v>336924.72</v>
      </c>
      <c r="S815" s="2">
        <v>51867.72</v>
      </c>
      <c r="T815" s="1">
        <v>45707</v>
      </c>
      <c r="U815" s="5">
        <v>2</v>
      </c>
    </row>
    <row r="816" spans="1:21" x14ac:dyDescent="0.3">
      <c r="A816" s="5" t="s">
        <v>877</v>
      </c>
      <c r="B816" s="1">
        <v>45909</v>
      </c>
      <c r="C816" s="5" t="s">
        <v>42</v>
      </c>
      <c r="D816" s="5" t="s">
        <v>62</v>
      </c>
      <c r="E816" s="5" t="s">
        <v>54</v>
      </c>
      <c r="F816" s="5" t="s">
        <v>63</v>
      </c>
      <c r="G816" s="5" t="s">
        <v>38</v>
      </c>
      <c r="H816" s="5" t="s">
        <v>51</v>
      </c>
      <c r="I816" s="5">
        <v>32</v>
      </c>
      <c r="J816" s="5">
        <v>3936</v>
      </c>
      <c r="K816" s="5">
        <v>5821.83</v>
      </c>
      <c r="L816" s="5">
        <v>236</v>
      </c>
      <c r="M816" s="5">
        <v>254</v>
      </c>
      <c r="N816" s="5">
        <v>3</v>
      </c>
      <c r="O816" s="5" t="s">
        <v>32</v>
      </c>
      <c r="P816" s="5">
        <v>5015</v>
      </c>
      <c r="Q816" s="5" t="s">
        <v>33</v>
      </c>
      <c r="R816" s="2">
        <v>186298.56</v>
      </c>
      <c r="S816" s="2">
        <v>60346.559999999998</v>
      </c>
      <c r="T816" s="1">
        <v>45909</v>
      </c>
      <c r="U816" s="5">
        <v>9</v>
      </c>
    </row>
    <row r="817" spans="1:21" x14ac:dyDescent="0.3">
      <c r="A817" s="5" t="s">
        <v>878</v>
      </c>
      <c r="B817" s="1">
        <v>45904</v>
      </c>
      <c r="C817" s="5" t="s">
        <v>35</v>
      </c>
      <c r="D817" s="5" t="s">
        <v>53</v>
      </c>
      <c r="E817" s="5" t="s">
        <v>54</v>
      </c>
      <c r="F817" s="5" t="s">
        <v>63</v>
      </c>
      <c r="G817" s="5" t="s">
        <v>22</v>
      </c>
      <c r="H817" s="5" t="s">
        <v>51</v>
      </c>
      <c r="I817" s="5">
        <v>23</v>
      </c>
      <c r="J817" s="5">
        <v>3929</v>
      </c>
      <c r="K817" s="5">
        <v>5069.04</v>
      </c>
      <c r="L817" s="5">
        <v>1734</v>
      </c>
      <c r="M817" s="5">
        <v>167</v>
      </c>
      <c r="N817" s="5">
        <v>1</v>
      </c>
      <c r="O817" s="5" t="s">
        <v>32</v>
      </c>
      <c r="P817" s="5">
        <v>5060</v>
      </c>
      <c r="Q817" s="5" t="s">
        <v>33</v>
      </c>
      <c r="R817" s="2">
        <v>116587.92</v>
      </c>
      <c r="S817" s="2">
        <v>26220.92</v>
      </c>
      <c r="T817" s="1">
        <v>45904</v>
      </c>
      <c r="U817" s="5">
        <v>9</v>
      </c>
    </row>
    <row r="818" spans="1:21" x14ac:dyDescent="0.3">
      <c r="A818" s="5" t="s">
        <v>879</v>
      </c>
      <c r="B818" s="1">
        <v>45914</v>
      </c>
      <c r="C818" s="5" t="s">
        <v>27</v>
      </c>
      <c r="D818" s="5" t="s">
        <v>36</v>
      </c>
      <c r="E818" s="5" t="s">
        <v>54</v>
      </c>
      <c r="F818" s="5" t="s">
        <v>87</v>
      </c>
      <c r="G818" s="5" t="s">
        <v>38</v>
      </c>
      <c r="H818" s="5" t="s">
        <v>51</v>
      </c>
      <c r="I818" s="5">
        <v>178</v>
      </c>
      <c r="J818" s="5">
        <v>2633</v>
      </c>
      <c r="K818" s="5">
        <v>3217.91</v>
      </c>
      <c r="L818" s="5">
        <v>1175</v>
      </c>
      <c r="M818" s="5">
        <v>240</v>
      </c>
      <c r="N818" s="5">
        <v>5</v>
      </c>
      <c r="O818" s="5" t="s">
        <v>32</v>
      </c>
      <c r="P818" s="5">
        <v>5462</v>
      </c>
      <c r="Q818" s="5" t="s">
        <v>33</v>
      </c>
      <c r="R818" s="2">
        <v>572787.98</v>
      </c>
      <c r="S818" s="2">
        <v>104113.98</v>
      </c>
      <c r="T818" s="1">
        <v>45914</v>
      </c>
      <c r="U818" s="5">
        <v>9</v>
      </c>
    </row>
    <row r="819" spans="1:21" x14ac:dyDescent="0.3">
      <c r="A819" s="5" t="s">
        <v>880</v>
      </c>
      <c r="B819" s="1">
        <v>45966</v>
      </c>
      <c r="C819" s="5" t="s">
        <v>42</v>
      </c>
      <c r="D819" s="5" t="s">
        <v>19</v>
      </c>
      <c r="E819" s="5" t="s">
        <v>29</v>
      </c>
      <c r="F819" s="5" t="s">
        <v>58</v>
      </c>
      <c r="G819" s="5" t="s">
        <v>22</v>
      </c>
      <c r="H819" s="5" t="s">
        <v>51</v>
      </c>
      <c r="I819" s="5">
        <v>342</v>
      </c>
      <c r="J819" s="5">
        <v>4929</v>
      </c>
      <c r="K819" s="5">
        <v>7262.22</v>
      </c>
      <c r="L819" s="5">
        <v>1586</v>
      </c>
      <c r="M819" s="5">
        <v>143</v>
      </c>
      <c r="N819" s="5">
        <v>9</v>
      </c>
      <c r="O819" s="5" t="s">
        <v>24</v>
      </c>
      <c r="P819" s="5">
        <v>988</v>
      </c>
      <c r="Q819" s="5" t="s">
        <v>33</v>
      </c>
      <c r="R819" s="2">
        <v>2483679.2400000002</v>
      </c>
      <c r="S819" s="2">
        <v>797961.24</v>
      </c>
      <c r="T819" s="1">
        <v>45966</v>
      </c>
      <c r="U819" s="5">
        <v>11</v>
      </c>
    </row>
    <row r="820" spans="1:21" x14ac:dyDescent="0.3">
      <c r="A820" s="5" t="s">
        <v>881</v>
      </c>
      <c r="B820" s="1">
        <v>45855</v>
      </c>
      <c r="C820" s="5" t="s">
        <v>27</v>
      </c>
      <c r="D820" s="5" t="s">
        <v>36</v>
      </c>
      <c r="E820" s="5" t="s">
        <v>54</v>
      </c>
      <c r="F820" s="5" t="s">
        <v>55</v>
      </c>
      <c r="G820" s="5" t="s">
        <v>38</v>
      </c>
      <c r="H820" s="5" t="s">
        <v>51</v>
      </c>
      <c r="I820" s="5">
        <v>275</v>
      </c>
      <c r="J820" s="5">
        <v>4233</v>
      </c>
      <c r="K820" s="5">
        <v>5034.47</v>
      </c>
      <c r="L820" s="5">
        <v>911</v>
      </c>
      <c r="M820" s="5">
        <v>109</v>
      </c>
      <c r="N820" s="5">
        <v>6</v>
      </c>
      <c r="O820" s="5" t="s">
        <v>24</v>
      </c>
      <c r="P820" s="5">
        <v>399</v>
      </c>
      <c r="Q820" s="5" t="s">
        <v>33</v>
      </c>
      <c r="R820" s="2">
        <v>1384479.25</v>
      </c>
      <c r="S820" s="2">
        <v>220404.25</v>
      </c>
      <c r="T820" s="1">
        <v>45855</v>
      </c>
      <c r="U820" s="5">
        <v>7</v>
      </c>
    </row>
    <row r="821" spans="1:21" x14ac:dyDescent="0.3">
      <c r="A821" s="5" t="s">
        <v>882</v>
      </c>
      <c r="B821" s="1">
        <v>45949</v>
      </c>
      <c r="C821" s="5" t="s">
        <v>42</v>
      </c>
      <c r="D821" s="5" t="s">
        <v>28</v>
      </c>
      <c r="E821" s="5" t="s">
        <v>49</v>
      </c>
      <c r="F821" s="5" t="s">
        <v>89</v>
      </c>
      <c r="G821" s="5" t="s">
        <v>22</v>
      </c>
      <c r="H821" s="5" t="s">
        <v>51</v>
      </c>
      <c r="I821" s="5">
        <v>429</v>
      </c>
      <c r="J821" s="5">
        <v>2792</v>
      </c>
      <c r="K821" s="5">
        <v>3660.84</v>
      </c>
      <c r="L821" s="5">
        <v>1291</v>
      </c>
      <c r="M821" s="5">
        <v>228</v>
      </c>
      <c r="N821" s="5">
        <v>10</v>
      </c>
      <c r="O821" s="5" t="s">
        <v>24</v>
      </c>
      <c r="P821" s="5">
        <v>3535</v>
      </c>
      <c r="Q821" s="5" t="s">
        <v>40</v>
      </c>
      <c r="R821" s="2">
        <v>1570500.36</v>
      </c>
      <c r="S821" s="2">
        <v>372732.36</v>
      </c>
      <c r="T821" s="1">
        <v>45949</v>
      </c>
      <c r="U821" s="5">
        <v>10</v>
      </c>
    </row>
    <row r="822" spans="1:21" x14ac:dyDescent="0.3">
      <c r="A822" s="5" t="s">
        <v>883</v>
      </c>
      <c r="B822" s="1">
        <v>45673</v>
      </c>
      <c r="C822" s="5" t="s">
        <v>18</v>
      </c>
      <c r="D822" s="5" t="s">
        <v>28</v>
      </c>
      <c r="E822" s="5" t="s">
        <v>49</v>
      </c>
      <c r="F822" s="5" t="s">
        <v>75</v>
      </c>
      <c r="G822" s="5" t="s">
        <v>22</v>
      </c>
      <c r="H822" s="5" t="s">
        <v>23</v>
      </c>
      <c r="I822" s="5">
        <v>228</v>
      </c>
      <c r="J822" s="5">
        <v>557</v>
      </c>
      <c r="K822" s="5">
        <v>671</v>
      </c>
      <c r="L822" s="5">
        <v>584</v>
      </c>
      <c r="M822" s="5">
        <v>210</v>
      </c>
      <c r="N822" s="5">
        <v>5</v>
      </c>
      <c r="O822" s="5" t="s">
        <v>32</v>
      </c>
      <c r="P822" s="5">
        <v>7926</v>
      </c>
      <c r="Q822" s="5" t="s">
        <v>33</v>
      </c>
      <c r="R822" s="2">
        <v>152988</v>
      </c>
      <c r="S822" s="2">
        <v>25992</v>
      </c>
      <c r="T822" s="1">
        <v>45673</v>
      </c>
      <c r="U822" s="5">
        <v>1</v>
      </c>
    </row>
    <row r="823" spans="1:21" x14ac:dyDescent="0.3">
      <c r="A823" s="5" t="s">
        <v>884</v>
      </c>
      <c r="B823" s="1">
        <v>45997</v>
      </c>
      <c r="C823" s="5" t="s">
        <v>42</v>
      </c>
      <c r="D823" s="5" t="s">
        <v>62</v>
      </c>
      <c r="E823" s="5" t="s">
        <v>49</v>
      </c>
      <c r="F823" s="5" t="s">
        <v>89</v>
      </c>
      <c r="G823" s="5" t="s">
        <v>56</v>
      </c>
      <c r="H823" s="5" t="s">
        <v>39</v>
      </c>
      <c r="I823" s="5">
        <v>19</v>
      </c>
      <c r="J823" s="5">
        <v>2704</v>
      </c>
      <c r="K823" s="5">
        <v>3791.59</v>
      </c>
      <c r="L823" s="5">
        <v>971</v>
      </c>
      <c r="M823" s="5">
        <v>258</v>
      </c>
      <c r="N823" s="5">
        <v>4</v>
      </c>
      <c r="O823" s="5" t="s">
        <v>32</v>
      </c>
      <c r="P823" s="5">
        <v>1727</v>
      </c>
      <c r="Q823" s="5" t="s">
        <v>25</v>
      </c>
      <c r="R823" s="2">
        <v>72040.210000000006</v>
      </c>
      <c r="S823" s="2">
        <v>20664.21</v>
      </c>
      <c r="T823" s="1">
        <v>45997</v>
      </c>
      <c r="U823" s="5">
        <v>12</v>
      </c>
    </row>
    <row r="824" spans="1:21" x14ac:dyDescent="0.3">
      <c r="A824" s="5" t="s">
        <v>885</v>
      </c>
      <c r="B824" s="1">
        <v>45757</v>
      </c>
      <c r="C824" s="5" t="s">
        <v>18</v>
      </c>
      <c r="D824" s="5" t="s">
        <v>36</v>
      </c>
      <c r="E824" s="5" t="s">
        <v>54</v>
      </c>
      <c r="F824" s="5" t="s">
        <v>81</v>
      </c>
      <c r="G824" s="5" t="s">
        <v>56</v>
      </c>
      <c r="H824" s="5" t="s">
        <v>51</v>
      </c>
      <c r="I824" s="5">
        <v>369</v>
      </c>
      <c r="J824" s="5">
        <v>1135</v>
      </c>
      <c r="K824" s="5">
        <v>1356.29</v>
      </c>
      <c r="L824" s="5">
        <v>986</v>
      </c>
      <c r="M824" s="5">
        <v>162</v>
      </c>
      <c r="N824" s="5">
        <v>3</v>
      </c>
      <c r="O824" s="5" t="s">
        <v>32</v>
      </c>
      <c r="P824" s="5">
        <v>4445</v>
      </c>
      <c r="Q824" s="5" t="s">
        <v>25</v>
      </c>
      <c r="R824" s="2">
        <v>500471.01</v>
      </c>
      <c r="S824" s="2">
        <v>81656.009999999995</v>
      </c>
      <c r="T824" s="1">
        <v>45757</v>
      </c>
      <c r="U824" s="5">
        <v>4</v>
      </c>
    </row>
    <row r="825" spans="1:21" x14ac:dyDescent="0.3">
      <c r="A825" s="5" t="s">
        <v>886</v>
      </c>
      <c r="B825" s="1">
        <v>45900</v>
      </c>
      <c r="C825" s="5" t="s">
        <v>27</v>
      </c>
      <c r="D825" s="5" t="s">
        <v>28</v>
      </c>
      <c r="E825" s="5" t="s">
        <v>49</v>
      </c>
      <c r="F825" s="5" t="s">
        <v>89</v>
      </c>
      <c r="G825" s="5" t="s">
        <v>22</v>
      </c>
      <c r="H825" s="5" t="s">
        <v>51</v>
      </c>
      <c r="I825" s="5">
        <v>235</v>
      </c>
      <c r="J825" s="5">
        <v>1662</v>
      </c>
      <c r="K825" s="5">
        <v>2106.06</v>
      </c>
      <c r="L825" s="5">
        <v>1388</v>
      </c>
      <c r="M825" s="5">
        <v>200</v>
      </c>
      <c r="N825" s="5">
        <v>1</v>
      </c>
      <c r="O825" s="5" t="s">
        <v>32</v>
      </c>
      <c r="P825" s="5">
        <v>1528</v>
      </c>
      <c r="Q825" s="5" t="s">
        <v>33</v>
      </c>
      <c r="R825" s="2">
        <v>494924.1</v>
      </c>
      <c r="S825" s="2">
        <v>104354.1</v>
      </c>
      <c r="T825" s="1">
        <v>45900</v>
      </c>
      <c r="U825" s="5">
        <v>8</v>
      </c>
    </row>
    <row r="826" spans="1:21" x14ac:dyDescent="0.3">
      <c r="A826" s="5" t="s">
        <v>887</v>
      </c>
      <c r="B826" s="1">
        <v>46000</v>
      </c>
      <c r="C826" s="5" t="s">
        <v>42</v>
      </c>
      <c r="D826" s="5" t="s">
        <v>36</v>
      </c>
      <c r="E826" s="5" t="s">
        <v>54</v>
      </c>
      <c r="F826" s="5" t="s">
        <v>55</v>
      </c>
      <c r="G826" s="5" t="s">
        <v>38</v>
      </c>
      <c r="H826" s="5" t="s">
        <v>51</v>
      </c>
      <c r="I826" s="5">
        <v>285</v>
      </c>
      <c r="J826" s="5">
        <v>1571</v>
      </c>
      <c r="K826" s="5">
        <v>2175.5</v>
      </c>
      <c r="L826" s="5">
        <v>807</v>
      </c>
      <c r="M826" s="5">
        <v>225</v>
      </c>
      <c r="N826" s="5">
        <v>8</v>
      </c>
      <c r="O826" s="5" t="s">
        <v>24</v>
      </c>
      <c r="P826" s="5">
        <v>3745</v>
      </c>
      <c r="Q826" s="5" t="s">
        <v>40</v>
      </c>
      <c r="R826" s="2">
        <v>620017.5</v>
      </c>
      <c r="S826" s="2">
        <v>172282.5</v>
      </c>
      <c r="T826" s="1">
        <v>46000</v>
      </c>
      <c r="U826" s="5">
        <v>12</v>
      </c>
    </row>
    <row r="827" spans="1:21" x14ac:dyDescent="0.3">
      <c r="A827" s="5" t="s">
        <v>888</v>
      </c>
      <c r="B827" s="1">
        <v>45869</v>
      </c>
      <c r="C827" s="5" t="s">
        <v>18</v>
      </c>
      <c r="D827" s="5" t="s">
        <v>62</v>
      </c>
      <c r="E827" s="5" t="s">
        <v>49</v>
      </c>
      <c r="F827" s="5" t="s">
        <v>94</v>
      </c>
      <c r="G827" s="5" t="s">
        <v>31</v>
      </c>
      <c r="H827" s="5" t="s">
        <v>39</v>
      </c>
      <c r="I827" s="5">
        <v>71</v>
      </c>
      <c r="J827" s="5">
        <v>1804</v>
      </c>
      <c r="K827" s="5">
        <v>2545.48</v>
      </c>
      <c r="L827" s="5">
        <v>776</v>
      </c>
      <c r="M827" s="5">
        <v>113</v>
      </c>
      <c r="N827" s="5">
        <v>9</v>
      </c>
      <c r="O827" s="5" t="s">
        <v>24</v>
      </c>
      <c r="P827" s="5">
        <v>1372</v>
      </c>
      <c r="Q827" s="5" t="s">
        <v>40</v>
      </c>
      <c r="R827" s="2">
        <v>180729.08</v>
      </c>
      <c r="S827" s="2">
        <v>52645.08</v>
      </c>
      <c r="T827" s="1">
        <v>45869</v>
      </c>
      <c r="U827" s="5">
        <v>7</v>
      </c>
    </row>
    <row r="828" spans="1:21" x14ac:dyDescent="0.3">
      <c r="A828" s="5" t="s">
        <v>889</v>
      </c>
      <c r="B828" s="1">
        <v>45870</v>
      </c>
      <c r="C828" s="5" t="s">
        <v>35</v>
      </c>
      <c r="D828" s="5" t="s">
        <v>62</v>
      </c>
      <c r="E828" s="5" t="s">
        <v>20</v>
      </c>
      <c r="F828" s="5" t="s">
        <v>60</v>
      </c>
      <c r="G828" s="5" t="s">
        <v>31</v>
      </c>
      <c r="H828" s="5" t="s">
        <v>23</v>
      </c>
      <c r="I828" s="5">
        <v>415</v>
      </c>
      <c r="J828" s="5">
        <v>2419</v>
      </c>
      <c r="K828" s="5">
        <v>3109.28</v>
      </c>
      <c r="L828" s="5">
        <v>1122</v>
      </c>
      <c r="M828" s="5">
        <v>110</v>
      </c>
      <c r="N828" s="5">
        <v>2</v>
      </c>
      <c r="O828" s="5" t="s">
        <v>24</v>
      </c>
      <c r="P828" s="5">
        <v>6840</v>
      </c>
      <c r="Q828" s="5" t="s">
        <v>33</v>
      </c>
      <c r="R828" s="2">
        <v>1290351.2</v>
      </c>
      <c r="S828" s="2">
        <v>286466.2</v>
      </c>
      <c r="T828" s="1">
        <v>45870</v>
      </c>
      <c r="U828" s="5">
        <v>8</v>
      </c>
    </row>
    <row r="829" spans="1:21" x14ac:dyDescent="0.3">
      <c r="A829" s="5" t="s">
        <v>890</v>
      </c>
      <c r="B829" s="1">
        <v>45787</v>
      </c>
      <c r="C829" s="5" t="s">
        <v>42</v>
      </c>
      <c r="D829" s="5" t="s">
        <v>62</v>
      </c>
      <c r="E829" s="5" t="s">
        <v>49</v>
      </c>
      <c r="F829" s="5" t="s">
        <v>89</v>
      </c>
      <c r="G829" s="5" t="s">
        <v>31</v>
      </c>
      <c r="H829" s="5" t="s">
        <v>23</v>
      </c>
      <c r="I829" s="5">
        <v>354</v>
      </c>
      <c r="J829" s="5">
        <v>2951</v>
      </c>
      <c r="K829" s="5">
        <v>4066.79</v>
      </c>
      <c r="L829" s="5">
        <v>134</v>
      </c>
      <c r="M829" s="5">
        <v>98</v>
      </c>
      <c r="N829" s="5">
        <v>7</v>
      </c>
      <c r="O829" s="5" t="s">
        <v>24</v>
      </c>
      <c r="P829" s="5">
        <v>6384</v>
      </c>
      <c r="Q829" s="5" t="s">
        <v>40</v>
      </c>
      <c r="R829" s="2">
        <v>1439643.66</v>
      </c>
      <c r="S829" s="2">
        <v>394989.66</v>
      </c>
      <c r="T829" s="1">
        <v>45787</v>
      </c>
      <c r="U829" s="5">
        <v>5</v>
      </c>
    </row>
    <row r="830" spans="1:21" x14ac:dyDescent="0.3">
      <c r="A830" s="5" t="s">
        <v>891</v>
      </c>
      <c r="B830" s="1">
        <v>45792</v>
      </c>
      <c r="C830" s="5" t="s">
        <v>27</v>
      </c>
      <c r="D830" s="5" t="s">
        <v>28</v>
      </c>
      <c r="E830" s="5" t="s">
        <v>54</v>
      </c>
      <c r="F830" s="5" t="s">
        <v>55</v>
      </c>
      <c r="G830" s="5" t="s">
        <v>22</v>
      </c>
      <c r="H830" s="5" t="s">
        <v>39</v>
      </c>
      <c r="I830" s="5">
        <v>85</v>
      </c>
      <c r="J830" s="5">
        <v>2187</v>
      </c>
      <c r="K830" s="5">
        <v>3131.76</v>
      </c>
      <c r="L830" s="5">
        <v>1811</v>
      </c>
      <c r="M830" s="5">
        <v>297</v>
      </c>
      <c r="N830" s="5">
        <v>4</v>
      </c>
      <c r="O830" s="5" t="s">
        <v>32</v>
      </c>
      <c r="P830" s="5">
        <v>4563</v>
      </c>
      <c r="Q830" s="5" t="s">
        <v>33</v>
      </c>
      <c r="R830" s="2">
        <v>266199.59999999998</v>
      </c>
      <c r="S830" s="2">
        <v>80304.600000000006</v>
      </c>
      <c r="T830" s="1">
        <v>45792</v>
      </c>
      <c r="U830" s="5">
        <v>5</v>
      </c>
    </row>
    <row r="831" spans="1:21" x14ac:dyDescent="0.3">
      <c r="A831" s="5" t="s">
        <v>892</v>
      </c>
      <c r="B831" s="1">
        <v>45818</v>
      </c>
      <c r="C831" s="5" t="s">
        <v>18</v>
      </c>
      <c r="D831" s="5" t="s">
        <v>36</v>
      </c>
      <c r="E831" s="5" t="s">
        <v>29</v>
      </c>
      <c r="F831" s="5" t="s">
        <v>73</v>
      </c>
      <c r="G831" s="5" t="s">
        <v>56</v>
      </c>
      <c r="H831" s="5" t="s">
        <v>39</v>
      </c>
      <c r="I831" s="5">
        <v>391</v>
      </c>
      <c r="J831" s="5">
        <v>3166</v>
      </c>
      <c r="K831" s="5">
        <v>3727.77</v>
      </c>
      <c r="L831" s="5">
        <v>1732</v>
      </c>
      <c r="M831" s="5">
        <v>86</v>
      </c>
      <c r="N831" s="5">
        <v>5</v>
      </c>
      <c r="O831" s="5" t="s">
        <v>32</v>
      </c>
      <c r="P831" s="5">
        <v>4839</v>
      </c>
      <c r="Q831" s="5" t="s">
        <v>33</v>
      </c>
      <c r="R831" s="2">
        <v>1457558.07</v>
      </c>
      <c r="S831" s="2">
        <v>219652.07</v>
      </c>
      <c r="T831" s="1">
        <v>45818</v>
      </c>
      <c r="U831" s="5">
        <v>6</v>
      </c>
    </row>
    <row r="832" spans="1:21" x14ac:dyDescent="0.3">
      <c r="A832" s="5" t="s">
        <v>893</v>
      </c>
      <c r="B832" s="1">
        <v>45720</v>
      </c>
      <c r="C832" s="5" t="s">
        <v>35</v>
      </c>
      <c r="D832" s="5" t="s">
        <v>28</v>
      </c>
      <c r="E832" s="5" t="s">
        <v>49</v>
      </c>
      <c r="F832" s="5" t="s">
        <v>50</v>
      </c>
      <c r="G832" s="5" t="s">
        <v>31</v>
      </c>
      <c r="H832" s="5" t="s">
        <v>23</v>
      </c>
      <c r="I832" s="5">
        <v>271</v>
      </c>
      <c r="J832" s="5">
        <v>342</v>
      </c>
      <c r="K832" s="5">
        <v>398.63</v>
      </c>
      <c r="L832" s="5">
        <v>1187</v>
      </c>
      <c r="M832" s="5">
        <v>236</v>
      </c>
      <c r="N832" s="5">
        <v>2</v>
      </c>
      <c r="O832" s="5" t="s">
        <v>32</v>
      </c>
      <c r="P832" s="5">
        <v>4224</v>
      </c>
      <c r="Q832" s="5" t="s">
        <v>33</v>
      </c>
      <c r="R832" s="2">
        <v>108028.73</v>
      </c>
      <c r="S832" s="2">
        <v>15346.73</v>
      </c>
      <c r="T832" s="1">
        <v>45720</v>
      </c>
      <c r="U832" s="5">
        <v>3</v>
      </c>
    </row>
    <row r="833" spans="1:21" x14ac:dyDescent="0.3">
      <c r="A833" s="5" t="s">
        <v>894</v>
      </c>
      <c r="B833" s="1">
        <v>45999</v>
      </c>
      <c r="C833" s="5" t="s">
        <v>42</v>
      </c>
      <c r="D833" s="5" t="s">
        <v>19</v>
      </c>
      <c r="E833" s="5" t="s">
        <v>20</v>
      </c>
      <c r="F833" s="5" t="s">
        <v>60</v>
      </c>
      <c r="G833" s="5" t="s">
        <v>31</v>
      </c>
      <c r="H833" s="5" t="s">
        <v>23</v>
      </c>
      <c r="I833" s="5">
        <v>57</v>
      </c>
      <c r="J833" s="5">
        <v>4712</v>
      </c>
      <c r="K833" s="5">
        <v>6886.74</v>
      </c>
      <c r="L833" s="5">
        <v>267</v>
      </c>
      <c r="M833" s="5">
        <v>151</v>
      </c>
      <c r="N833" s="5">
        <v>2</v>
      </c>
      <c r="O833" s="5" t="s">
        <v>24</v>
      </c>
      <c r="P833" s="5">
        <v>6154</v>
      </c>
      <c r="Q833" s="5" t="s">
        <v>40</v>
      </c>
      <c r="R833" s="2">
        <v>392544.18</v>
      </c>
      <c r="S833" s="2">
        <v>123960.18</v>
      </c>
      <c r="T833" s="1">
        <v>45999</v>
      </c>
      <c r="U833" s="5">
        <v>12</v>
      </c>
    </row>
    <row r="834" spans="1:21" x14ac:dyDescent="0.3">
      <c r="A834" s="5" t="s">
        <v>895</v>
      </c>
      <c r="B834" s="1">
        <v>45804</v>
      </c>
      <c r="C834" s="5" t="s">
        <v>27</v>
      </c>
      <c r="D834" s="5" t="s">
        <v>62</v>
      </c>
      <c r="E834" s="5" t="s">
        <v>29</v>
      </c>
      <c r="F834" s="5" t="s">
        <v>43</v>
      </c>
      <c r="G834" s="5" t="s">
        <v>38</v>
      </c>
      <c r="H834" s="5" t="s">
        <v>51</v>
      </c>
      <c r="I834" s="5">
        <v>271</v>
      </c>
      <c r="J834" s="5">
        <v>2782</v>
      </c>
      <c r="K834" s="5">
        <v>3402.54</v>
      </c>
      <c r="L834" s="5">
        <v>566</v>
      </c>
      <c r="M834" s="5">
        <v>207</v>
      </c>
      <c r="N834" s="5">
        <v>4</v>
      </c>
      <c r="O834" s="5" t="s">
        <v>32</v>
      </c>
      <c r="P834" s="5">
        <v>4769</v>
      </c>
      <c r="Q834" s="5" t="s">
        <v>33</v>
      </c>
      <c r="R834" s="2">
        <v>922088.34</v>
      </c>
      <c r="S834" s="2">
        <v>168166.34</v>
      </c>
      <c r="T834" s="1">
        <v>45804</v>
      </c>
      <c r="U834" s="5">
        <v>5</v>
      </c>
    </row>
    <row r="835" spans="1:21" x14ac:dyDescent="0.3">
      <c r="A835" s="5" t="s">
        <v>896</v>
      </c>
      <c r="B835" s="1">
        <v>45970</v>
      </c>
      <c r="C835" s="5" t="s">
        <v>42</v>
      </c>
      <c r="D835" s="5" t="s">
        <v>19</v>
      </c>
      <c r="E835" s="5" t="s">
        <v>20</v>
      </c>
      <c r="F835" s="5" t="s">
        <v>37</v>
      </c>
      <c r="G835" s="5" t="s">
        <v>38</v>
      </c>
      <c r="H835" s="5" t="s">
        <v>39</v>
      </c>
      <c r="I835" s="5">
        <v>148</v>
      </c>
      <c r="J835" s="5">
        <v>3039</v>
      </c>
      <c r="K835" s="5">
        <v>3652.93</v>
      </c>
      <c r="L835" s="5">
        <v>459</v>
      </c>
      <c r="M835" s="5">
        <v>130</v>
      </c>
      <c r="N835" s="5">
        <v>8</v>
      </c>
      <c r="O835" s="5" t="s">
        <v>24</v>
      </c>
      <c r="P835" s="5">
        <v>2975</v>
      </c>
      <c r="Q835" s="5" t="s">
        <v>25</v>
      </c>
      <c r="R835" s="2">
        <v>540633.64</v>
      </c>
      <c r="S835" s="2">
        <v>90861.64</v>
      </c>
      <c r="T835" s="1">
        <v>45970</v>
      </c>
      <c r="U835" s="5">
        <v>11</v>
      </c>
    </row>
    <row r="836" spans="1:21" x14ac:dyDescent="0.3">
      <c r="A836" s="5" t="s">
        <v>897</v>
      </c>
      <c r="B836" s="1">
        <v>45882</v>
      </c>
      <c r="C836" s="5" t="s">
        <v>35</v>
      </c>
      <c r="D836" s="5" t="s">
        <v>19</v>
      </c>
      <c r="E836" s="5" t="s">
        <v>49</v>
      </c>
      <c r="F836" s="5" t="s">
        <v>50</v>
      </c>
      <c r="G836" s="5" t="s">
        <v>22</v>
      </c>
      <c r="H836" s="5" t="s">
        <v>51</v>
      </c>
      <c r="I836" s="5">
        <v>210</v>
      </c>
      <c r="J836" s="5">
        <v>4172</v>
      </c>
      <c r="K836" s="5">
        <v>5260.55</v>
      </c>
      <c r="L836" s="5">
        <v>499</v>
      </c>
      <c r="M836" s="5">
        <v>298</v>
      </c>
      <c r="N836" s="5">
        <v>8</v>
      </c>
      <c r="O836" s="5" t="s">
        <v>24</v>
      </c>
      <c r="P836" s="5">
        <v>655</v>
      </c>
      <c r="Q836" s="5" t="s">
        <v>25</v>
      </c>
      <c r="R836" s="2">
        <v>1104715.5</v>
      </c>
      <c r="S836" s="2">
        <v>228595.5</v>
      </c>
      <c r="T836" s="1">
        <v>45882</v>
      </c>
      <c r="U836" s="5">
        <v>8</v>
      </c>
    </row>
    <row r="837" spans="1:21" x14ac:dyDescent="0.3">
      <c r="A837" s="5" t="s">
        <v>898</v>
      </c>
      <c r="B837" s="1">
        <v>45840</v>
      </c>
      <c r="C837" s="5" t="s">
        <v>27</v>
      </c>
      <c r="D837" s="5" t="s">
        <v>36</v>
      </c>
      <c r="E837" s="5" t="s">
        <v>29</v>
      </c>
      <c r="F837" s="5" t="s">
        <v>58</v>
      </c>
      <c r="G837" s="5" t="s">
        <v>31</v>
      </c>
      <c r="H837" s="5" t="s">
        <v>23</v>
      </c>
      <c r="I837" s="5">
        <v>346</v>
      </c>
      <c r="J837" s="5">
        <v>3820</v>
      </c>
      <c r="K837" s="5">
        <v>5369.72</v>
      </c>
      <c r="L837" s="5">
        <v>1626</v>
      </c>
      <c r="M837" s="5">
        <v>263</v>
      </c>
      <c r="N837" s="5">
        <v>7</v>
      </c>
      <c r="O837" s="5" t="s">
        <v>24</v>
      </c>
      <c r="P837" s="5">
        <v>4782</v>
      </c>
      <c r="Q837" s="5" t="s">
        <v>46</v>
      </c>
      <c r="R837" s="2">
        <v>1857923.12</v>
      </c>
      <c r="S837" s="2">
        <v>536203.12</v>
      </c>
      <c r="T837" s="1">
        <v>45840</v>
      </c>
      <c r="U837" s="5">
        <v>7</v>
      </c>
    </row>
    <row r="838" spans="1:21" x14ac:dyDescent="0.3">
      <c r="A838" s="5" t="s">
        <v>899</v>
      </c>
      <c r="B838" s="1">
        <v>45926</v>
      </c>
      <c r="C838" s="5" t="s">
        <v>35</v>
      </c>
      <c r="D838" s="5" t="s">
        <v>36</v>
      </c>
      <c r="E838" s="5" t="s">
        <v>54</v>
      </c>
      <c r="F838" s="5" t="s">
        <v>55</v>
      </c>
      <c r="G838" s="5" t="s">
        <v>56</v>
      </c>
      <c r="H838" s="5" t="s">
        <v>51</v>
      </c>
      <c r="I838" s="5">
        <v>97</v>
      </c>
      <c r="J838" s="5">
        <v>601</v>
      </c>
      <c r="K838" s="5">
        <v>736.44</v>
      </c>
      <c r="L838" s="5">
        <v>1433</v>
      </c>
      <c r="M838" s="5">
        <v>88</v>
      </c>
      <c r="N838" s="5">
        <v>4</v>
      </c>
      <c r="O838" s="5" t="s">
        <v>32</v>
      </c>
      <c r="P838" s="5">
        <v>5536</v>
      </c>
      <c r="Q838" s="5" t="s">
        <v>25</v>
      </c>
      <c r="R838" s="2">
        <v>71434.679999999993</v>
      </c>
      <c r="S838" s="2">
        <v>13137.68</v>
      </c>
      <c r="T838" s="1">
        <v>45926</v>
      </c>
      <c r="U838" s="5">
        <v>9</v>
      </c>
    </row>
    <row r="839" spans="1:21" x14ac:dyDescent="0.3">
      <c r="A839" s="5" t="s">
        <v>900</v>
      </c>
      <c r="B839" s="1">
        <v>45863</v>
      </c>
      <c r="C839" s="5" t="s">
        <v>27</v>
      </c>
      <c r="D839" s="5" t="s">
        <v>19</v>
      </c>
      <c r="E839" s="5" t="s">
        <v>29</v>
      </c>
      <c r="F839" s="5" t="s">
        <v>58</v>
      </c>
      <c r="G839" s="5" t="s">
        <v>31</v>
      </c>
      <c r="H839" s="5" t="s">
        <v>39</v>
      </c>
      <c r="I839" s="5">
        <v>43</v>
      </c>
      <c r="J839" s="5">
        <v>4819</v>
      </c>
      <c r="K839" s="5">
        <v>5842.03</v>
      </c>
      <c r="L839" s="5">
        <v>804</v>
      </c>
      <c r="M839" s="5">
        <v>183</v>
      </c>
      <c r="N839" s="5">
        <v>10</v>
      </c>
      <c r="O839" s="5" t="s">
        <v>24</v>
      </c>
      <c r="P839" s="5">
        <v>2323</v>
      </c>
      <c r="Q839" s="5" t="s">
        <v>25</v>
      </c>
      <c r="R839" s="2">
        <v>251207.29</v>
      </c>
      <c r="S839" s="2">
        <v>43990.29</v>
      </c>
      <c r="T839" s="1">
        <v>45863</v>
      </c>
      <c r="U839" s="5">
        <v>7</v>
      </c>
    </row>
    <row r="840" spans="1:21" x14ac:dyDescent="0.3">
      <c r="A840" s="5" t="s">
        <v>901</v>
      </c>
      <c r="B840" s="1">
        <v>45774</v>
      </c>
      <c r="C840" s="5" t="s">
        <v>27</v>
      </c>
      <c r="D840" s="5" t="s">
        <v>28</v>
      </c>
      <c r="E840" s="5" t="s">
        <v>29</v>
      </c>
      <c r="F840" s="5" t="s">
        <v>69</v>
      </c>
      <c r="G840" s="5" t="s">
        <v>38</v>
      </c>
      <c r="H840" s="5" t="s">
        <v>51</v>
      </c>
      <c r="I840" s="5">
        <v>55</v>
      </c>
      <c r="J840" s="5">
        <v>301</v>
      </c>
      <c r="K840" s="5">
        <v>348.95</v>
      </c>
      <c r="L840" s="5">
        <v>758</v>
      </c>
      <c r="M840" s="5">
        <v>283</v>
      </c>
      <c r="N840" s="5">
        <v>7</v>
      </c>
      <c r="O840" s="5" t="s">
        <v>24</v>
      </c>
      <c r="P840" s="5">
        <v>325</v>
      </c>
      <c r="Q840" s="5" t="s">
        <v>33</v>
      </c>
      <c r="R840" s="2">
        <v>19192.25</v>
      </c>
      <c r="S840" s="2">
        <v>2637.25</v>
      </c>
      <c r="T840" s="1">
        <v>45774</v>
      </c>
      <c r="U840" s="5">
        <v>4</v>
      </c>
    </row>
    <row r="841" spans="1:21" x14ac:dyDescent="0.3">
      <c r="A841" s="5" t="s">
        <v>902</v>
      </c>
      <c r="B841" s="1">
        <v>45961</v>
      </c>
      <c r="C841" s="5" t="s">
        <v>27</v>
      </c>
      <c r="D841" s="5" t="s">
        <v>53</v>
      </c>
      <c r="E841" s="5" t="s">
        <v>54</v>
      </c>
      <c r="F841" s="5" t="s">
        <v>87</v>
      </c>
      <c r="G841" s="5" t="s">
        <v>56</v>
      </c>
      <c r="H841" s="5" t="s">
        <v>23</v>
      </c>
      <c r="I841" s="5">
        <v>371</v>
      </c>
      <c r="J841" s="5">
        <v>849</v>
      </c>
      <c r="K841" s="5">
        <v>1224.43</v>
      </c>
      <c r="L841" s="5">
        <v>1140</v>
      </c>
      <c r="M841" s="5">
        <v>101</v>
      </c>
      <c r="N841" s="5">
        <v>9</v>
      </c>
      <c r="O841" s="5" t="s">
        <v>24</v>
      </c>
      <c r="P841" s="5">
        <v>4359</v>
      </c>
      <c r="Q841" s="5" t="s">
        <v>46</v>
      </c>
      <c r="R841" s="2">
        <v>454263.53</v>
      </c>
      <c r="S841" s="2">
        <v>139284.53</v>
      </c>
      <c r="T841" s="1">
        <v>45961</v>
      </c>
      <c r="U841" s="5">
        <v>10</v>
      </c>
    </row>
    <row r="842" spans="1:21" x14ac:dyDescent="0.3">
      <c r="A842" s="5" t="s">
        <v>903</v>
      </c>
      <c r="B842" s="1">
        <v>45800</v>
      </c>
      <c r="C842" s="5" t="s">
        <v>27</v>
      </c>
      <c r="D842" s="5" t="s">
        <v>19</v>
      </c>
      <c r="E842" s="5" t="s">
        <v>20</v>
      </c>
      <c r="F842" s="5" t="s">
        <v>45</v>
      </c>
      <c r="G842" s="5" t="s">
        <v>38</v>
      </c>
      <c r="H842" s="5" t="s">
        <v>39</v>
      </c>
      <c r="I842" s="5">
        <v>223</v>
      </c>
      <c r="J842" s="5">
        <v>436</v>
      </c>
      <c r="K842" s="5">
        <v>615.99</v>
      </c>
      <c r="L842" s="5">
        <v>156</v>
      </c>
      <c r="M842" s="5">
        <v>142</v>
      </c>
      <c r="N842" s="5">
        <v>3</v>
      </c>
      <c r="O842" s="5" t="s">
        <v>32</v>
      </c>
      <c r="P842" s="5">
        <v>5428</v>
      </c>
      <c r="Q842" s="5" t="s">
        <v>33</v>
      </c>
      <c r="R842" s="2">
        <v>137365.76999999999</v>
      </c>
      <c r="S842" s="2">
        <v>40137.769999999997</v>
      </c>
      <c r="T842" s="1">
        <v>45800</v>
      </c>
      <c r="U842" s="5">
        <v>5</v>
      </c>
    </row>
    <row r="843" spans="1:21" x14ac:dyDescent="0.3">
      <c r="A843" s="5" t="s">
        <v>904</v>
      </c>
      <c r="B843" s="1">
        <v>46022</v>
      </c>
      <c r="C843" s="5" t="s">
        <v>42</v>
      </c>
      <c r="D843" s="5" t="s">
        <v>36</v>
      </c>
      <c r="E843" s="5" t="s">
        <v>20</v>
      </c>
      <c r="F843" s="5" t="s">
        <v>21</v>
      </c>
      <c r="G843" s="5" t="s">
        <v>38</v>
      </c>
      <c r="H843" s="5" t="s">
        <v>23</v>
      </c>
      <c r="I843" s="5">
        <v>499</v>
      </c>
      <c r="J843" s="5">
        <v>341</v>
      </c>
      <c r="K843" s="5">
        <v>393.94</v>
      </c>
      <c r="L843" s="5">
        <v>1739</v>
      </c>
      <c r="M843" s="5">
        <v>288</v>
      </c>
      <c r="N843" s="5">
        <v>6</v>
      </c>
      <c r="O843" s="5" t="s">
        <v>24</v>
      </c>
      <c r="P843" s="5">
        <v>6283</v>
      </c>
      <c r="Q843" s="5" t="s">
        <v>33</v>
      </c>
      <c r="R843" s="2">
        <v>196576.06</v>
      </c>
      <c r="S843" s="2">
        <v>26417.06</v>
      </c>
      <c r="T843" s="1">
        <v>46022</v>
      </c>
      <c r="U843" s="5">
        <v>12</v>
      </c>
    </row>
    <row r="844" spans="1:21" x14ac:dyDescent="0.3">
      <c r="A844" s="5" t="s">
        <v>905</v>
      </c>
      <c r="B844" s="1">
        <v>45718</v>
      </c>
      <c r="C844" s="5" t="s">
        <v>35</v>
      </c>
      <c r="D844" s="5" t="s">
        <v>62</v>
      </c>
      <c r="E844" s="5" t="s">
        <v>20</v>
      </c>
      <c r="F844" s="5" t="s">
        <v>21</v>
      </c>
      <c r="G844" s="5" t="s">
        <v>38</v>
      </c>
      <c r="H844" s="5" t="s">
        <v>39</v>
      </c>
      <c r="I844" s="5">
        <v>217</v>
      </c>
      <c r="J844" s="5">
        <v>2494</v>
      </c>
      <c r="K844" s="5">
        <v>3603.26</v>
      </c>
      <c r="L844" s="5">
        <v>816</v>
      </c>
      <c r="M844" s="5">
        <v>121</v>
      </c>
      <c r="N844" s="5">
        <v>6</v>
      </c>
      <c r="O844" s="5" t="s">
        <v>24</v>
      </c>
      <c r="P844" s="5">
        <v>2536</v>
      </c>
      <c r="Q844" s="5" t="s">
        <v>40</v>
      </c>
      <c r="R844" s="2">
        <v>781907.42</v>
      </c>
      <c r="S844" s="2">
        <v>240709.42</v>
      </c>
      <c r="T844" s="1">
        <v>45718</v>
      </c>
      <c r="U844" s="5">
        <v>3</v>
      </c>
    </row>
    <row r="845" spans="1:21" x14ac:dyDescent="0.3">
      <c r="A845" s="5" t="s">
        <v>906</v>
      </c>
      <c r="B845" s="1">
        <v>45965</v>
      </c>
      <c r="C845" s="5" t="s">
        <v>35</v>
      </c>
      <c r="D845" s="5" t="s">
        <v>53</v>
      </c>
      <c r="E845" s="5" t="s">
        <v>49</v>
      </c>
      <c r="F845" s="5" t="s">
        <v>65</v>
      </c>
      <c r="G845" s="5" t="s">
        <v>38</v>
      </c>
      <c r="H845" s="5" t="s">
        <v>51</v>
      </c>
      <c r="I845" s="5">
        <v>364</v>
      </c>
      <c r="J845" s="5">
        <v>4002</v>
      </c>
      <c r="K845" s="5">
        <v>4866.55</v>
      </c>
      <c r="L845" s="5">
        <v>1337</v>
      </c>
      <c r="M845" s="5">
        <v>137</v>
      </c>
      <c r="N845" s="5">
        <v>10</v>
      </c>
      <c r="O845" s="5" t="s">
        <v>24</v>
      </c>
      <c r="P845" s="5">
        <v>7918</v>
      </c>
      <c r="Q845" s="5" t="s">
        <v>33</v>
      </c>
      <c r="R845" s="2">
        <v>1771424.2</v>
      </c>
      <c r="S845" s="2">
        <v>314696.2</v>
      </c>
      <c r="T845" s="1">
        <v>45965</v>
      </c>
      <c r="U845" s="5">
        <v>11</v>
      </c>
    </row>
    <row r="846" spans="1:21" x14ac:dyDescent="0.3">
      <c r="A846" s="5" t="s">
        <v>907</v>
      </c>
      <c r="B846" s="1">
        <v>45788</v>
      </c>
      <c r="C846" s="5" t="s">
        <v>35</v>
      </c>
      <c r="D846" s="5" t="s">
        <v>28</v>
      </c>
      <c r="E846" s="5" t="s">
        <v>29</v>
      </c>
      <c r="F846" s="5" t="s">
        <v>69</v>
      </c>
      <c r="G846" s="5" t="s">
        <v>56</v>
      </c>
      <c r="H846" s="5" t="s">
        <v>23</v>
      </c>
      <c r="I846" s="5">
        <v>370</v>
      </c>
      <c r="J846" s="5">
        <v>139</v>
      </c>
      <c r="K846" s="5">
        <v>197.71</v>
      </c>
      <c r="L846" s="5">
        <v>1637</v>
      </c>
      <c r="M846" s="5">
        <v>200</v>
      </c>
      <c r="N846" s="5">
        <v>8</v>
      </c>
      <c r="O846" s="5" t="s">
        <v>24</v>
      </c>
      <c r="P846" s="5">
        <v>3880</v>
      </c>
      <c r="Q846" s="5" t="s">
        <v>40</v>
      </c>
      <c r="R846" s="2">
        <v>73152.7</v>
      </c>
      <c r="S846" s="2">
        <v>21722.7</v>
      </c>
      <c r="T846" s="1">
        <v>45788</v>
      </c>
      <c r="U846" s="5">
        <v>5</v>
      </c>
    </row>
    <row r="847" spans="1:21" x14ac:dyDescent="0.3">
      <c r="A847" s="5" t="s">
        <v>908</v>
      </c>
      <c r="B847" s="1">
        <v>45673</v>
      </c>
      <c r="C847" s="5" t="s">
        <v>42</v>
      </c>
      <c r="D847" s="5" t="s">
        <v>62</v>
      </c>
      <c r="E847" s="5" t="s">
        <v>54</v>
      </c>
      <c r="F847" s="5" t="s">
        <v>55</v>
      </c>
      <c r="G847" s="5" t="s">
        <v>31</v>
      </c>
      <c r="H847" s="5" t="s">
        <v>51</v>
      </c>
      <c r="I847" s="5">
        <v>81</v>
      </c>
      <c r="J847" s="5">
        <v>1252</v>
      </c>
      <c r="K847" s="5">
        <v>1859.21</v>
      </c>
      <c r="L847" s="5">
        <v>905</v>
      </c>
      <c r="M847" s="5">
        <v>101</v>
      </c>
      <c r="N847" s="5">
        <v>2</v>
      </c>
      <c r="O847" s="5" t="s">
        <v>24</v>
      </c>
      <c r="P847" s="5">
        <v>6789</v>
      </c>
      <c r="Q847" s="5" t="s">
        <v>46</v>
      </c>
      <c r="R847" s="2">
        <v>150596.01</v>
      </c>
      <c r="S847" s="2">
        <v>49184.01</v>
      </c>
      <c r="T847" s="1">
        <v>45673</v>
      </c>
      <c r="U847" s="5">
        <v>1</v>
      </c>
    </row>
    <row r="848" spans="1:21" x14ac:dyDescent="0.3">
      <c r="A848" s="5" t="s">
        <v>909</v>
      </c>
      <c r="B848" s="1">
        <v>45849</v>
      </c>
      <c r="C848" s="5" t="s">
        <v>18</v>
      </c>
      <c r="D848" s="5" t="s">
        <v>36</v>
      </c>
      <c r="E848" s="5" t="s">
        <v>49</v>
      </c>
      <c r="F848" s="5" t="s">
        <v>65</v>
      </c>
      <c r="G848" s="5" t="s">
        <v>38</v>
      </c>
      <c r="H848" s="5" t="s">
        <v>23</v>
      </c>
      <c r="I848" s="5">
        <v>50</v>
      </c>
      <c r="J848" s="5">
        <v>2523</v>
      </c>
      <c r="K848" s="5">
        <v>3635.03</v>
      </c>
      <c r="L848" s="5">
        <v>574</v>
      </c>
      <c r="M848" s="5">
        <v>271</v>
      </c>
      <c r="N848" s="5">
        <v>1</v>
      </c>
      <c r="O848" s="5" t="s">
        <v>32</v>
      </c>
      <c r="P848" s="5">
        <v>1505</v>
      </c>
      <c r="Q848" s="5" t="s">
        <v>33</v>
      </c>
      <c r="R848" s="2">
        <v>181751.5</v>
      </c>
      <c r="S848" s="2">
        <v>55601.5</v>
      </c>
      <c r="T848" s="1">
        <v>45849</v>
      </c>
      <c r="U848" s="5">
        <v>7</v>
      </c>
    </row>
    <row r="849" spans="1:21" x14ac:dyDescent="0.3">
      <c r="A849" s="5" t="s">
        <v>910</v>
      </c>
      <c r="B849" s="1">
        <v>45966</v>
      </c>
      <c r="C849" s="5" t="s">
        <v>18</v>
      </c>
      <c r="D849" s="5" t="s">
        <v>19</v>
      </c>
      <c r="E849" s="5" t="s">
        <v>20</v>
      </c>
      <c r="F849" s="5" t="s">
        <v>100</v>
      </c>
      <c r="G849" s="5" t="s">
        <v>22</v>
      </c>
      <c r="H849" s="5" t="s">
        <v>39</v>
      </c>
      <c r="I849" s="5">
        <v>163</v>
      </c>
      <c r="J849" s="5">
        <v>4927</v>
      </c>
      <c r="K849" s="5">
        <v>7237.46</v>
      </c>
      <c r="L849" s="5">
        <v>1709</v>
      </c>
      <c r="M849" s="5">
        <v>128</v>
      </c>
      <c r="N849" s="5">
        <v>10</v>
      </c>
      <c r="O849" s="5" t="s">
        <v>24</v>
      </c>
      <c r="P849" s="5">
        <v>1136</v>
      </c>
      <c r="Q849" s="5" t="s">
        <v>46</v>
      </c>
      <c r="R849" s="2">
        <v>1179705.98</v>
      </c>
      <c r="S849" s="2">
        <v>376604.98</v>
      </c>
      <c r="T849" s="1">
        <v>45966</v>
      </c>
      <c r="U849" s="5">
        <v>11</v>
      </c>
    </row>
    <row r="850" spans="1:21" x14ac:dyDescent="0.3">
      <c r="A850" s="5" t="s">
        <v>911</v>
      </c>
      <c r="B850" s="1">
        <v>45699</v>
      </c>
      <c r="C850" s="5" t="s">
        <v>42</v>
      </c>
      <c r="D850" s="5" t="s">
        <v>53</v>
      </c>
      <c r="E850" s="5" t="s">
        <v>49</v>
      </c>
      <c r="F850" s="5" t="s">
        <v>89</v>
      </c>
      <c r="G850" s="5" t="s">
        <v>56</v>
      </c>
      <c r="H850" s="5" t="s">
        <v>51</v>
      </c>
      <c r="I850" s="5">
        <v>242</v>
      </c>
      <c r="J850" s="5">
        <v>511</v>
      </c>
      <c r="K850" s="5">
        <v>759.58</v>
      </c>
      <c r="L850" s="5">
        <v>1526</v>
      </c>
      <c r="M850" s="5">
        <v>142</v>
      </c>
      <c r="N850" s="5">
        <v>7</v>
      </c>
      <c r="O850" s="5" t="s">
        <v>24</v>
      </c>
      <c r="P850" s="5">
        <v>5042</v>
      </c>
      <c r="Q850" s="5" t="s">
        <v>25</v>
      </c>
      <c r="R850" s="2">
        <v>183818.36</v>
      </c>
      <c r="S850" s="2">
        <v>60156.36</v>
      </c>
      <c r="T850" s="1">
        <v>45699</v>
      </c>
      <c r="U850" s="5">
        <v>2</v>
      </c>
    </row>
    <row r="851" spans="1:21" x14ac:dyDescent="0.3">
      <c r="A851" s="5" t="s">
        <v>912</v>
      </c>
      <c r="B851" s="1">
        <v>45996</v>
      </c>
      <c r="C851" s="5" t="s">
        <v>27</v>
      </c>
      <c r="D851" s="5" t="s">
        <v>28</v>
      </c>
      <c r="E851" s="5" t="s">
        <v>29</v>
      </c>
      <c r="F851" s="5" t="s">
        <v>69</v>
      </c>
      <c r="G851" s="5" t="s">
        <v>31</v>
      </c>
      <c r="H851" s="5" t="s">
        <v>23</v>
      </c>
      <c r="I851" s="5">
        <v>468</v>
      </c>
      <c r="J851" s="5">
        <v>2748</v>
      </c>
      <c r="K851" s="5">
        <v>3927.45</v>
      </c>
      <c r="L851" s="5">
        <v>1674</v>
      </c>
      <c r="M851" s="5">
        <v>101</v>
      </c>
      <c r="N851" s="5">
        <v>4</v>
      </c>
      <c r="O851" s="5" t="s">
        <v>32</v>
      </c>
      <c r="P851" s="5">
        <v>6964</v>
      </c>
      <c r="Q851" s="5" t="s">
        <v>33</v>
      </c>
      <c r="R851" s="2">
        <v>1838046.6</v>
      </c>
      <c r="S851" s="2">
        <v>551982.6</v>
      </c>
      <c r="T851" s="1">
        <v>45996</v>
      </c>
      <c r="U851" s="5">
        <v>12</v>
      </c>
    </row>
    <row r="852" spans="1:21" x14ac:dyDescent="0.3">
      <c r="A852" s="5" t="s">
        <v>913</v>
      </c>
      <c r="B852" s="1">
        <v>45842</v>
      </c>
      <c r="C852" s="5" t="s">
        <v>35</v>
      </c>
      <c r="D852" s="5" t="s">
        <v>62</v>
      </c>
      <c r="E852" s="5" t="s">
        <v>49</v>
      </c>
      <c r="F852" s="5" t="s">
        <v>75</v>
      </c>
      <c r="G852" s="5" t="s">
        <v>56</v>
      </c>
      <c r="H852" s="5" t="s">
        <v>51</v>
      </c>
      <c r="I852" s="5">
        <v>252</v>
      </c>
      <c r="J852" s="5">
        <v>3396</v>
      </c>
      <c r="K852" s="5">
        <v>4440.9399999999996</v>
      </c>
      <c r="L852" s="5">
        <v>800</v>
      </c>
      <c r="M852" s="5">
        <v>161</v>
      </c>
      <c r="N852" s="5">
        <v>3</v>
      </c>
      <c r="O852" s="5" t="s">
        <v>32</v>
      </c>
      <c r="P852" s="5">
        <v>6698</v>
      </c>
      <c r="Q852" s="5" t="s">
        <v>33</v>
      </c>
      <c r="R852" s="2">
        <v>1119116.8799999999</v>
      </c>
      <c r="S852" s="2">
        <v>263324.88</v>
      </c>
      <c r="T852" s="1">
        <v>45842</v>
      </c>
      <c r="U852" s="5">
        <v>7</v>
      </c>
    </row>
    <row r="853" spans="1:21" x14ac:dyDescent="0.3">
      <c r="A853" s="5" t="s">
        <v>914</v>
      </c>
      <c r="B853" s="1">
        <v>45815</v>
      </c>
      <c r="C853" s="5" t="s">
        <v>18</v>
      </c>
      <c r="D853" s="5" t="s">
        <v>28</v>
      </c>
      <c r="E853" s="5" t="s">
        <v>54</v>
      </c>
      <c r="F853" s="5" t="s">
        <v>55</v>
      </c>
      <c r="G853" s="5" t="s">
        <v>31</v>
      </c>
      <c r="H853" s="5" t="s">
        <v>39</v>
      </c>
      <c r="I853" s="5">
        <v>354</v>
      </c>
      <c r="J853" s="5">
        <v>841</v>
      </c>
      <c r="K853" s="5">
        <v>1178.06</v>
      </c>
      <c r="L853" s="5">
        <v>1431</v>
      </c>
      <c r="M853" s="5">
        <v>262</v>
      </c>
      <c r="N853" s="5">
        <v>3</v>
      </c>
      <c r="O853" s="5" t="s">
        <v>32</v>
      </c>
      <c r="P853" s="5">
        <v>5623</v>
      </c>
      <c r="Q853" s="5" t="s">
        <v>33</v>
      </c>
      <c r="R853" s="2">
        <v>417033.24</v>
      </c>
      <c r="S853" s="2">
        <v>119319.24</v>
      </c>
      <c r="T853" s="1">
        <v>45815</v>
      </c>
      <c r="U853" s="5">
        <v>6</v>
      </c>
    </row>
    <row r="854" spans="1:21" x14ac:dyDescent="0.3">
      <c r="A854" s="5" t="s">
        <v>915</v>
      </c>
      <c r="B854" s="1">
        <v>45853</v>
      </c>
      <c r="C854" s="5" t="s">
        <v>27</v>
      </c>
      <c r="D854" s="5" t="s">
        <v>62</v>
      </c>
      <c r="E854" s="5" t="s">
        <v>20</v>
      </c>
      <c r="F854" s="5" t="s">
        <v>21</v>
      </c>
      <c r="G854" s="5" t="s">
        <v>31</v>
      </c>
      <c r="H854" s="5" t="s">
        <v>51</v>
      </c>
      <c r="I854" s="5">
        <v>219</v>
      </c>
      <c r="J854" s="5">
        <v>570</v>
      </c>
      <c r="K854" s="5">
        <v>830.7</v>
      </c>
      <c r="L854" s="5">
        <v>311</v>
      </c>
      <c r="M854" s="5">
        <v>269</v>
      </c>
      <c r="N854" s="5">
        <v>3</v>
      </c>
      <c r="O854" s="5" t="s">
        <v>32</v>
      </c>
      <c r="P854" s="5">
        <v>4609</v>
      </c>
      <c r="Q854" s="5" t="s">
        <v>33</v>
      </c>
      <c r="R854" s="2">
        <v>181923.3</v>
      </c>
      <c r="S854" s="2">
        <v>57093.3</v>
      </c>
      <c r="T854" s="1">
        <v>45853</v>
      </c>
      <c r="U854" s="5">
        <v>7</v>
      </c>
    </row>
    <row r="855" spans="1:21" x14ac:dyDescent="0.3">
      <c r="A855" s="5" t="s">
        <v>916</v>
      </c>
      <c r="B855" s="1">
        <v>45845</v>
      </c>
      <c r="C855" s="5" t="s">
        <v>35</v>
      </c>
      <c r="D855" s="5" t="s">
        <v>62</v>
      </c>
      <c r="E855" s="5" t="s">
        <v>54</v>
      </c>
      <c r="F855" s="5" t="s">
        <v>78</v>
      </c>
      <c r="G855" s="5" t="s">
        <v>31</v>
      </c>
      <c r="H855" s="5" t="s">
        <v>23</v>
      </c>
      <c r="I855" s="5">
        <v>122</v>
      </c>
      <c r="J855" s="5">
        <v>2787</v>
      </c>
      <c r="K855" s="5">
        <v>4164.8100000000004</v>
      </c>
      <c r="L855" s="5">
        <v>1388</v>
      </c>
      <c r="M855" s="5">
        <v>114</v>
      </c>
      <c r="N855" s="5">
        <v>3</v>
      </c>
      <c r="O855" s="5" t="s">
        <v>32</v>
      </c>
      <c r="P855" s="5">
        <v>2635</v>
      </c>
      <c r="Q855" s="5" t="s">
        <v>33</v>
      </c>
      <c r="R855" s="2">
        <v>508106.82</v>
      </c>
      <c r="S855" s="2">
        <v>168092.82</v>
      </c>
      <c r="T855" s="1">
        <v>45845</v>
      </c>
      <c r="U855" s="5">
        <v>7</v>
      </c>
    </row>
    <row r="856" spans="1:21" x14ac:dyDescent="0.3">
      <c r="A856" s="5" t="s">
        <v>917</v>
      </c>
      <c r="B856" s="1">
        <v>45771</v>
      </c>
      <c r="C856" s="5" t="s">
        <v>27</v>
      </c>
      <c r="D856" s="5" t="s">
        <v>36</v>
      </c>
      <c r="E856" s="5" t="s">
        <v>54</v>
      </c>
      <c r="F856" s="5" t="s">
        <v>55</v>
      </c>
      <c r="G856" s="5" t="s">
        <v>56</v>
      </c>
      <c r="H856" s="5" t="s">
        <v>51</v>
      </c>
      <c r="I856" s="5">
        <v>447</v>
      </c>
      <c r="J856" s="5">
        <v>1033</v>
      </c>
      <c r="K856" s="5">
        <v>1295.1300000000001</v>
      </c>
      <c r="L856" s="5">
        <v>161</v>
      </c>
      <c r="M856" s="5">
        <v>169</v>
      </c>
      <c r="N856" s="5">
        <v>2</v>
      </c>
      <c r="O856" s="5" t="s">
        <v>32</v>
      </c>
      <c r="P856" s="5">
        <v>1758</v>
      </c>
      <c r="Q856" s="5" t="s">
        <v>33</v>
      </c>
      <c r="R856" s="2">
        <v>578923.11</v>
      </c>
      <c r="S856" s="2">
        <v>117172.11</v>
      </c>
      <c r="T856" s="1">
        <v>45771</v>
      </c>
      <c r="U856" s="5">
        <v>4</v>
      </c>
    </row>
    <row r="857" spans="1:21" x14ac:dyDescent="0.3">
      <c r="A857" s="5" t="s">
        <v>918</v>
      </c>
      <c r="B857" s="1">
        <v>45660</v>
      </c>
      <c r="C857" s="5" t="s">
        <v>27</v>
      </c>
      <c r="D857" s="5" t="s">
        <v>53</v>
      </c>
      <c r="E857" s="5" t="s">
        <v>20</v>
      </c>
      <c r="F857" s="5" t="s">
        <v>21</v>
      </c>
      <c r="G857" s="5" t="s">
        <v>38</v>
      </c>
      <c r="H857" s="5" t="s">
        <v>39</v>
      </c>
      <c r="I857" s="5">
        <v>381</v>
      </c>
      <c r="J857" s="5">
        <v>2716</v>
      </c>
      <c r="K857" s="5">
        <v>3369.87</v>
      </c>
      <c r="L857" s="5">
        <v>580</v>
      </c>
      <c r="M857" s="5">
        <v>96</v>
      </c>
      <c r="N857" s="5">
        <v>8</v>
      </c>
      <c r="O857" s="5" t="s">
        <v>24</v>
      </c>
      <c r="P857" s="5">
        <v>6545</v>
      </c>
      <c r="Q857" s="5" t="s">
        <v>40</v>
      </c>
      <c r="R857" s="2">
        <v>1283920.47</v>
      </c>
      <c r="S857" s="2">
        <v>249124.47</v>
      </c>
      <c r="T857" s="1">
        <v>45660</v>
      </c>
      <c r="U857" s="5">
        <v>1</v>
      </c>
    </row>
    <row r="858" spans="1:21" x14ac:dyDescent="0.3">
      <c r="A858" s="5" t="s">
        <v>919</v>
      </c>
      <c r="B858" s="1">
        <v>45846</v>
      </c>
      <c r="C858" s="5" t="s">
        <v>18</v>
      </c>
      <c r="D858" s="5" t="s">
        <v>19</v>
      </c>
      <c r="E858" s="5" t="s">
        <v>20</v>
      </c>
      <c r="F858" s="5" t="s">
        <v>100</v>
      </c>
      <c r="G858" s="5" t="s">
        <v>22</v>
      </c>
      <c r="H858" s="5" t="s">
        <v>23</v>
      </c>
      <c r="I858" s="5">
        <v>211</v>
      </c>
      <c r="J858" s="5">
        <v>1950</v>
      </c>
      <c r="K858" s="5">
        <v>2903.49</v>
      </c>
      <c r="L858" s="5">
        <v>1579</v>
      </c>
      <c r="M858" s="5">
        <v>255</v>
      </c>
      <c r="N858" s="5">
        <v>7</v>
      </c>
      <c r="O858" s="5" t="s">
        <v>24</v>
      </c>
      <c r="P858" s="5">
        <v>6850</v>
      </c>
      <c r="Q858" s="5" t="s">
        <v>40</v>
      </c>
      <c r="R858" s="2">
        <v>612636.39</v>
      </c>
      <c r="S858" s="2">
        <v>201186.39</v>
      </c>
      <c r="T858" s="1">
        <v>45846</v>
      </c>
      <c r="U858" s="5">
        <v>7</v>
      </c>
    </row>
    <row r="859" spans="1:21" x14ac:dyDescent="0.3">
      <c r="A859" s="5" t="s">
        <v>920</v>
      </c>
      <c r="B859" s="1">
        <v>45905</v>
      </c>
      <c r="C859" s="5" t="s">
        <v>35</v>
      </c>
      <c r="D859" s="5" t="s">
        <v>53</v>
      </c>
      <c r="E859" s="5" t="s">
        <v>54</v>
      </c>
      <c r="F859" s="5" t="s">
        <v>55</v>
      </c>
      <c r="G859" s="5" t="s">
        <v>56</v>
      </c>
      <c r="H859" s="5" t="s">
        <v>39</v>
      </c>
      <c r="I859" s="5">
        <v>482</v>
      </c>
      <c r="J859" s="5">
        <v>1451</v>
      </c>
      <c r="K859" s="5">
        <v>1826.45</v>
      </c>
      <c r="L859" s="5">
        <v>1578</v>
      </c>
      <c r="M859" s="5">
        <v>142</v>
      </c>
      <c r="N859" s="5">
        <v>9</v>
      </c>
      <c r="O859" s="5" t="s">
        <v>24</v>
      </c>
      <c r="P859" s="5">
        <v>5968</v>
      </c>
      <c r="Q859" s="5" t="s">
        <v>25</v>
      </c>
      <c r="R859" s="2">
        <v>880348.9</v>
      </c>
      <c r="S859" s="2">
        <v>180966.9</v>
      </c>
      <c r="T859" s="1">
        <v>45905</v>
      </c>
      <c r="U859" s="5">
        <v>9</v>
      </c>
    </row>
    <row r="860" spans="1:21" x14ac:dyDescent="0.3">
      <c r="A860" s="5" t="s">
        <v>921</v>
      </c>
      <c r="B860" s="1">
        <v>45841</v>
      </c>
      <c r="C860" s="5" t="s">
        <v>42</v>
      </c>
      <c r="D860" s="5" t="s">
        <v>19</v>
      </c>
      <c r="E860" s="5" t="s">
        <v>29</v>
      </c>
      <c r="F860" s="5" t="s">
        <v>58</v>
      </c>
      <c r="G860" s="5" t="s">
        <v>38</v>
      </c>
      <c r="H860" s="5" t="s">
        <v>51</v>
      </c>
      <c r="I860" s="5">
        <v>284</v>
      </c>
      <c r="J860" s="5">
        <v>4184</v>
      </c>
      <c r="K860" s="5">
        <v>5574.38</v>
      </c>
      <c r="L860" s="5">
        <v>1531</v>
      </c>
      <c r="M860" s="5">
        <v>221</v>
      </c>
      <c r="N860" s="5">
        <v>1</v>
      </c>
      <c r="O860" s="5" t="s">
        <v>32</v>
      </c>
      <c r="P860" s="5">
        <v>1286</v>
      </c>
      <c r="Q860" s="5" t="s">
        <v>25</v>
      </c>
      <c r="R860" s="2">
        <v>1583123.92</v>
      </c>
      <c r="S860" s="2">
        <v>394867.92</v>
      </c>
      <c r="T860" s="1">
        <v>45841</v>
      </c>
      <c r="U860" s="5">
        <v>7</v>
      </c>
    </row>
    <row r="861" spans="1:21" x14ac:dyDescent="0.3">
      <c r="A861" s="5" t="s">
        <v>922</v>
      </c>
      <c r="B861" s="1">
        <v>45963</v>
      </c>
      <c r="C861" s="5" t="s">
        <v>18</v>
      </c>
      <c r="D861" s="5" t="s">
        <v>19</v>
      </c>
      <c r="E861" s="5" t="s">
        <v>29</v>
      </c>
      <c r="F861" s="5" t="s">
        <v>43</v>
      </c>
      <c r="G861" s="5" t="s">
        <v>31</v>
      </c>
      <c r="H861" s="5" t="s">
        <v>51</v>
      </c>
      <c r="I861" s="5">
        <v>392</v>
      </c>
      <c r="J861" s="5">
        <v>2364</v>
      </c>
      <c r="K861" s="5">
        <v>3391.59</v>
      </c>
      <c r="L861" s="5">
        <v>673</v>
      </c>
      <c r="M861" s="5">
        <v>135</v>
      </c>
      <c r="N861" s="5">
        <v>7</v>
      </c>
      <c r="O861" s="5" t="s">
        <v>24</v>
      </c>
      <c r="P861" s="5">
        <v>1624</v>
      </c>
      <c r="Q861" s="5" t="s">
        <v>40</v>
      </c>
      <c r="R861" s="2">
        <v>1329503.28</v>
      </c>
      <c r="S861" s="2">
        <v>402815.28</v>
      </c>
      <c r="T861" s="1">
        <v>45963</v>
      </c>
      <c r="U861" s="5">
        <v>11</v>
      </c>
    </row>
    <row r="862" spans="1:21" x14ac:dyDescent="0.3">
      <c r="A862" s="5" t="s">
        <v>923</v>
      </c>
      <c r="B862" s="1">
        <v>45930</v>
      </c>
      <c r="C862" s="5" t="s">
        <v>35</v>
      </c>
      <c r="D862" s="5" t="s">
        <v>53</v>
      </c>
      <c r="E862" s="5" t="s">
        <v>20</v>
      </c>
      <c r="F862" s="5" t="s">
        <v>37</v>
      </c>
      <c r="G862" s="5" t="s">
        <v>31</v>
      </c>
      <c r="H862" s="5" t="s">
        <v>51</v>
      </c>
      <c r="I862" s="5">
        <v>470</v>
      </c>
      <c r="J862" s="5">
        <v>1817</v>
      </c>
      <c r="K862" s="5">
        <v>2552.5700000000002</v>
      </c>
      <c r="L862" s="5">
        <v>1968</v>
      </c>
      <c r="M862" s="5">
        <v>105</v>
      </c>
      <c r="N862" s="5">
        <v>3</v>
      </c>
      <c r="O862" s="5" t="s">
        <v>32</v>
      </c>
      <c r="P862" s="5">
        <v>7884</v>
      </c>
      <c r="Q862" s="5" t="s">
        <v>33</v>
      </c>
      <c r="R862" s="2">
        <v>1199707.8999999999</v>
      </c>
      <c r="S862" s="2">
        <v>345717.9</v>
      </c>
      <c r="T862" s="1">
        <v>45930</v>
      </c>
      <c r="U862" s="5">
        <v>9</v>
      </c>
    </row>
    <row r="863" spans="1:21" x14ac:dyDescent="0.3">
      <c r="A863" s="5" t="s">
        <v>924</v>
      </c>
      <c r="B863" s="1">
        <v>45780</v>
      </c>
      <c r="C863" s="5" t="s">
        <v>35</v>
      </c>
      <c r="D863" s="5" t="s">
        <v>62</v>
      </c>
      <c r="E863" s="5" t="s">
        <v>54</v>
      </c>
      <c r="F863" s="5" t="s">
        <v>78</v>
      </c>
      <c r="G863" s="5" t="s">
        <v>56</v>
      </c>
      <c r="H863" s="5" t="s">
        <v>23</v>
      </c>
      <c r="I863" s="5">
        <v>472</v>
      </c>
      <c r="J863" s="5">
        <v>4275</v>
      </c>
      <c r="K863" s="5">
        <v>5819.83</v>
      </c>
      <c r="L863" s="5">
        <v>1337</v>
      </c>
      <c r="M863" s="5">
        <v>177</v>
      </c>
      <c r="N863" s="5">
        <v>8</v>
      </c>
      <c r="O863" s="5" t="s">
        <v>24</v>
      </c>
      <c r="P863" s="5">
        <v>7018</v>
      </c>
      <c r="Q863" s="5" t="s">
        <v>33</v>
      </c>
      <c r="R863" s="2">
        <v>2746959.76</v>
      </c>
      <c r="S863" s="2">
        <v>729159.76</v>
      </c>
      <c r="T863" s="1">
        <v>45780</v>
      </c>
      <c r="U863" s="5">
        <v>5</v>
      </c>
    </row>
    <row r="864" spans="1:21" x14ac:dyDescent="0.3">
      <c r="A864" s="5" t="s">
        <v>925</v>
      </c>
      <c r="B864" s="1">
        <v>45941</v>
      </c>
      <c r="C864" s="5" t="s">
        <v>35</v>
      </c>
      <c r="D864" s="5" t="s">
        <v>62</v>
      </c>
      <c r="E864" s="5" t="s">
        <v>54</v>
      </c>
      <c r="F864" s="5" t="s">
        <v>63</v>
      </c>
      <c r="G864" s="5" t="s">
        <v>56</v>
      </c>
      <c r="H864" s="5" t="s">
        <v>23</v>
      </c>
      <c r="I864" s="5">
        <v>11</v>
      </c>
      <c r="J864" s="5">
        <v>3159</v>
      </c>
      <c r="K864" s="5">
        <v>3953.58</v>
      </c>
      <c r="L864" s="5">
        <v>1694</v>
      </c>
      <c r="M864" s="5">
        <v>208</v>
      </c>
      <c r="N864" s="5">
        <v>8</v>
      </c>
      <c r="O864" s="5" t="s">
        <v>24</v>
      </c>
      <c r="P864" s="5">
        <v>1816</v>
      </c>
      <c r="Q864" s="5" t="s">
        <v>40</v>
      </c>
      <c r="R864" s="2">
        <v>43489.38</v>
      </c>
      <c r="S864" s="2">
        <v>8740.3799999999992</v>
      </c>
      <c r="T864" s="1">
        <v>45941</v>
      </c>
      <c r="U864" s="5">
        <v>10</v>
      </c>
    </row>
    <row r="865" spans="1:21" x14ac:dyDescent="0.3">
      <c r="A865" s="5" t="s">
        <v>926</v>
      </c>
      <c r="B865" s="1">
        <v>45726</v>
      </c>
      <c r="C865" s="5" t="s">
        <v>18</v>
      </c>
      <c r="D865" s="5" t="s">
        <v>28</v>
      </c>
      <c r="E865" s="5" t="s">
        <v>49</v>
      </c>
      <c r="F865" s="5" t="s">
        <v>94</v>
      </c>
      <c r="G865" s="5" t="s">
        <v>56</v>
      </c>
      <c r="H865" s="5" t="s">
        <v>51</v>
      </c>
      <c r="I865" s="5">
        <v>310</v>
      </c>
      <c r="J865" s="5">
        <v>1389</v>
      </c>
      <c r="K865" s="5">
        <v>2079.44</v>
      </c>
      <c r="L865" s="5">
        <v>1747</v>
      </c>
      <c r="M865" s="5">
        <v>209</v>
      </c>
      <c r="N865" s="5">
        <v>10</v>
      </c>
      <c r="O865" s="5" t="s">
        <v>24</v>
      </c>
      <c r="P865" s="5">
        <v>7134</v>
      </c>
      <c r="Q865" s="5" t="s">
        <v>33</v>
      </c>
      <c r="R865" s="2">
        <v>644626.4</v>
      </c>
      <c r="S865" s="2">
        <v>214036.4</v>
      </c>
      <c r="T865" s="1">
        <v>45726</v>
      </c>
      <c r="U865" s="5">
        <v>3</v>
      </c>
    </row>
    <row r="866" spans="1:21" x14ac:dyDescent="0.3">
      <c r="A866" s="5" t="s">
        <v>927</v>
      </c>
      <c r="B866" s="1">
        <v>45798</v>
      </c>
      <c r="C866" s="5" t="s">
        <v>27</v>
      </c>
      <c r="D866" s="5" t="s">
        <v>28</v>
      </c>
      <c r="E866" s="5" t="s">
        <v>29</v>
      </c>
      <c r="F866" s="5" t="s">
        <v>58</v>
      </c>
      <c r="G866" s="5" t="s">
        <v>56</v>
      </c>
      <c r="H866" s="5" t="s">
        <v>39</v>
      </c>
      <c r="I866" s="5">
        <v>91</v>
      </c>
      <c r="J866" s="5">
        <v>1525</v>
      </c>
      <c r="K866" s="5">
        <v>2234.88</v>
      </c>
      <c r="L866" s="5">
        <v>879</v>
      </c>
      <c r="M866" s="5">
        <v>189</v>
      </c>
      <c r="N866" s="5">
        <v>10</v>
      </c>
      <c r="O866" s="5" t="s">
        <v>24</v>
      </c>
      <c r="P866" s="5">
        <v>6241</v>
      </c>
      <c r="Q866" s="5" t="s">
        <v>40</v>
      </c>
      <c r="R866" s="2">
        <v>203374.07999999999</v>
      </c>
      <c r="S866" s="2">
        <v>64599.08</v>
      </c>
      <c r="T866" s="1">
        <v>45798</v>
      </c>
      <c r="U866" s="5">
        <v>5</v>
      </c>
    </row>
    <row r="867" spans="1:21" x14ac:dyDescent="0.3">
      <c r="A867" s="5" t="s">
        <v>928</v>
      </c>
      <c r="B867" s="1">
        <v>45703</v>
      </c>
      <c r="C867" s="5" t="s">
        <v>42</v>
      </c>
      <c r="D867" s="5" t="s">
        <v>53</v>
      </c>
      <c r="E867" s="5" t="s">
        <v>20</v>
      </c>
      <c r="F867" s="5" t="s">
        <v>60</v>
      </c>
      <c r="G867" s="5" t="s">
        <v>31</v>
      </c>
      <c r="H867" s="5" t="s">
        <v>23</v>
      </c>
      <c r="I867" s="5">
        <v>477</v>
      </c>
      <c r="J867" s="5">
        <v>3112</v>
      </c>
      <c r="K867" s="5">
        <v>3827.78</v>
      </c>
      <c r="L867" s="5">
        <v>1165</v>
      </c>
      <c r="M867" s="5">
        <v>241</v>
      </c>
      <c r="N867" s="5">
        <v>8</v>
      </c>
      <c r="O867" s="5" t="s">
        <v>24</v>
      </c>
      <c r="P867" s="5">
        <v>7516</v>
      </c>
      <c r="Q867" s="5" t="s">
        <v>40</v>
      </c>
      <c r="R867" s="2">
        <v>1825851.06</v>
      </c>
      <c r="S867" s="2">
        <v>341427.06</v>
      </c>
      <c r="T867" s="1">
        <v>45703</v>
      </c>
      <c r="U867" s="5">
        <v>2</v>
      </c>
    </row>
    <row r="868" spans="1:21" x14ac:dyDescent="0.3">
      <c r="A868" s="5" t="s">
        <v>929</v>
      </c>
      <c r="B868" s="1">
        <v>45868</v>
      </c>
      <c r="C868" s="5" t="s">
        <v>27</v>
      </c>
      <c r="D868" s="5" t="s">
        <v>62</v>
      </c>
      <c r="E868" s="5" t="s">
        <v>20</v>
      </c>
      <c r="F868" s="5" t="s">
        <v>21</v>
      </c>
      <c r="G868" s="5" t="s">
        <v>38</v>
      </c>
      <c r="H868" s="5" t="s">
        <v>51</v>
      </c>
      <c r="I868" s="5">
        <v>173</v>
      </c>
      <c r="J868" s="5">
        <v>717</v>
      </c>
      <c r="K868" s="5">
        <v>1047.48</v>
      </c>
      <c r="L868" s="5">
        <v>1436</v>
      </c>
      <c r="M868" s="5">
        <v>198</v>
      </c>
      <c r="N868" s="5">
        <v>6</v>
      </c>
      <c r="O868" s="5" t="s">
        <v>24</v>
      </c>
      <c r="P868" s="5">
        <v>7853</v>
      </c>
      <c r="Q868" s="5" t="s">
        <v>25</v>
      </c>
      <c r="R868" s="2">
        <v>181214.04</v>
      </c>
      <c r="S868" s="2">
        <v>57173.04</v>
      </c>
      <c r="T868" s="1">
        <v>45868</v>
      </c>
      <c r="U868" s="5">
        <v>7</v>
      </c>
    </row>
    <row r="869" spans="1:21" x14ac:dyDescent="0.3">
      <c r="A869" s="5" t="s">
        <v>930</v>
      </c>
      <c r="B869" s="1">
        <v>45678</v>
      </c>
      <c r="C869" s="5" t="s">
        <v>42</v>
      </c>
      <c r="D869" s="5" t="s">
        <v>36</v>
      </c>
      <c r="E869" s="5" t="s">
        <v>54</v>
      </c>
      <c r="F869" s="5" t="s">
        <v>55</v>
      </c>
      <c r="G869" s="5" t="s">
        <v>56</v>
      </c>
      <c r="H869" s="5" t="s">
        <v>23</v>
      </c>
      <c r="I869" s="5">
        <v>212</v>
      </c>
      <c r="J869" s="5">
        <v>744</v>
      </c>
      <c r="K869" s="5">
        <v>946.2</v>
      </c>
      <c r="L869" s="5">
        <v>1927</v>
      </c>
      <c r="M869" s="5">
        <v>202</v>
      </c>
      <c r="N869" s="5">
        <v>8</v>
      </c>
      <c r="O869" s="5" t="s">
        <v>24</v>
      </c>
      <c r="P869" s="5">
        <v>7762</v>
      </c>
      <c r="Q869" s="5" t="s">
        <v>33</v>
      </c>
      <c r="R869" s="2">
        <v>200594.4</v>
      </c>
      <c r="S869" s="2">
        <v>42866.400000000001</v>
      </c>
      <c r="T869" s="1">
        <v>45678</v>
      </c>
      <c r="U869" s="5">
        <v>1</v>
      </c>
    </row>
    <row r="870" spans="1:21" x14ac:dyDescent="0.3">
      <c r="A870" s="5" t="s">
        <v>931</v>
      </c>
      <c r="B870" s="1">
        <v>45757</v>
      </c>
      <c r="C870" s="5" t="s">
        <v>42</v>
      </c>
      <c r="D870" s="5" t="s">
        <v>36</v>
      </c>
      <c r="E870" s="5" t="s">
        <v>49</v>
      </c>
      <c r="F870" s="5" t="s">
        <v>75</v>
      </c>
      <c r="G870" s="5" t="s">
        <v>22</v>
      </c>
      <c r="H870" s="5" t="s">
        <v>39</v>
      </c>
      <c r="I870" s="5">
        <v>499</v>
      </c>
      <c r="J870" s="5">
        <v>2893</v>
      </c>
      <c r="K870" s="5">
        <v>3512.35</v>
      </c>
      <c r="L870" s="5">
        <v>549</v>
      </c>
      <c r="M870" s="5">
        <v>108</v>
      </c>
      <c r="N870" s="5">
        <v>8</v>
      </c>
      <c r="O870" s="5" t="s">
        <v>24</v>
      </c>
      <c r="P870" s="5">
        <v>7735</v>
      </c>
      <c r="Q870" s="5" t="s">
        <v>40</v>
      </c>
      <c r="R870" s="2">
        <v>1752662.65</v>
      </c>
      <c r="S870" s="2">
        <v>309055.65000000002</v>
      </c>
      <c r="T870" s="1">
        <v>45757</v>
      </c>
      <c r="U870" s="5">
        <v>4</v>
      </c>
    </row>
    <row r="871" spans="1:21" x14ac:dyDescent="0.3">
      <c r="A871" s="5" t="s">
        <v>932</v>
      </c>
      <c r="B871" s="1">
        <v>45756</v>
      </c>
      <c r="C871" s="5" t="s">
        <v>42</v>
      </c>
      <c r="D871" s="5" t="s">
        <v>62</v>
      </c>
      <c r="E871" s="5" t="s">
        <v>29</v>
      </c>
      <c r="F871" s="5" t="s">
        <v>30</v>
      </c>
      <c r="G871" s="5" t="s">
        <v>31</v>
      </c>
      <c r="H871" s="5" t="s">
        <v>39</v>
      </c>
      <c r="I871" s="5">
        <v>128</v>
      </c>
      <c r="J871" s="5">
        <v>1197</v>
      </c>
      <c r="K871" s="5">
        <v>1428.48</v>
      </c>
      <c r="L871" s="5">
        <v>1921</v>
      </c>
      <c r="M871" s="5">
        <v>110</v>
      </c>
      <c r="N871" s="5">
        <v>5</v>
      </c>
      <c r="O871" s="5" t="s">
        <v>32</v>
      </c>
      <c r="P871" s="5">
        <v>5518</v>
      </c>
      <c r="Q871" s="5" t="s">
        <v>33</v>
      </c>
      <c r="R871" s="2">
        <v>182845.44</v>
      </c>
      <c r="S871" s="2">
        <v>29629.439999999999</v>
      </c>
      <c r="T871" s="1">
        <v>45756</v>
      </c>
      <c r="U871" s="5">
        <v>4</v>
      </c>
    </row>
    <row r="872" spans="1:21" x14ac:dyDescent="0.3">
      <c r="A872" s="5" t="s">
        <v>933</v>
      </c>
      <c r="B872" s="1">
        <v>45727</v>
      </c>
      <c r="C872" s="5" t="s">
        <v>27</v>
      </c>
      <c r="D872" s="5" t="s">
        <v>28</v>
      </c>
      <c r="E872" s="5" t="s">
        <v>20</v>
      </c>
      <c r="F872" s="5" t="s">
        <v>37</v>
      </c>
      <c r="G872" s="5" t="s">
        <v>38</v>
      </c>
      <c r="H872" s="5" t="s">
        <v>23</v>
      </c>
      <c r="I872" s="5">
        <v>212</v>
      </c>
      <c r="J872" s="5">
        <v>3460</v>
      </c>
      <c r="K872" s="5">
        <v>5105.28</v>
      </c>
      <c r="L872" s="5">
        <v>1636</v>
      </c>
      <c r="M872" s="5">
        <v>211</v>
      </c>
      <c r="N872" s="5">
        <v>1</v>
      </c>
      <c r="O872" s="5" t="s">
        <v>32</v>
      </c>
      <c r="P872" s="5">
        <v>4671</v>
      </c>
      <c r="Q872" s="5" t="s">
        <v>33</v>
      </c>
      <c r="R872" s="2">
        <v>1082319.3600000001</v>
      </c>
      <c r="S872" s="2">
        <v>348799.36</v>
      </c>
      <c r="T872" s="1">
        <v>45727</v>
      </c>
      <c r="U872" s="5">
        <v>3</v>
      </c>
    </row>
    <row r="873" spans="1:21" x14ac:dyDescent="0.3">
      <c r="A873" s="5" t="s">
        <v>934</v>
      </c>
      <c r="B873" s="1">
        <v>45979</v>
      </c>
      <c r="C873" s="5" t="s">
        <v>35</v>
      </c>
      <c r="D873" s="5" t="s">
        <v>19</v>
      </c>
      <c r="E873" s="5" t="s">
        <v>29</v>
      </c>
      <c r="F873" s="5" t="s">
        <v>58</v>
      </c>
      <c r="G873" s="5" t="s">
        <v>38</v>
      </c>
      <c r="H873" s="5" t="s">
        <v>39</v>
      </c>
      <c r="I873" s="5">
        <v>325</v>
      </c>
      <c r="J873" s="5">
        <v>2404</v>
      </c>
      <c r="K873" s="5">
        <v>2908.94</v>
      </c>
      <c r="L873" s="5">
        <v>1882</v>
      </c>
      <c r="M873" s="5">
        <v>163</v>
      </c>
      <c r="N873" s="5">
        <v>2</v>
      </c>
      <c r="O873" s="5" t="s">
        <v>32</v>
      </c>
      <c r="P873" s="5">
        <v>4658</v>
      </c>
      <c r="Q873" s="5" t="s">
        <v>33</v>
      </c>
      <c r="R873" s="2">
        <v>945405.5</v>
      </c>
      <c r="S873" s="2">
        <v>164105.5</v>
      </c>
      <c r="T873" s="1">
        <v>45979</v>
      </c>
      <c r="U873" s="5">
        <v>11</v>
      </c>
    </row>
    <row r="874" spans="1:21" x14ac:dyDescent="0.3">
      <c r="A874" s="5" t="s">
        <v>935</v>
      </c>
      <c r="B874" s="1">
        <v>45755</v>
      </c>
      <c r="C874" s="5" t="s">
        <v>27</v>
      </c>
      <c r="D874" s="5" t="s">
        <v>19</v>
      </c>
      <c r="E874" s="5" t="s">
        <v>54</v>
      </c>
      <c r="F874" s="5" t="s">
        <v>87</v>
      </c>
      <c r="G874" s="5" t="s">
        <v>31</v>
      </c>
      <c r="H874" s="5" t="s">
        <v>39</v>
      </c>
      <c r="I874" s="5">
        <v>459</v>
      </c>
      <c r="J874" s="5">
        <v>3751</v>
      </c>
      <c r="K874" s="5">
        <v>5406.72</v>
      </c>
      <c r="L874" s="5">
        <v>1393</v>
      </c>
      <c r="M874" s="5">
        <v>140</v>
      </c>
      <c r="N874" s="5">
        <v>5</v>
      </c>
      <c r="O874" s="5" t="s">
        <v>32</v>
      </c>
      <c r="P874" s="5">
        <v>4903</v>
      </c>
      <c r="Q874" s="5" t="s">
        <v>33</v>
      </c>
      <c r="R874" s="2">
        <v>2481684.48</v>
      </c>
      <c r="S874" s="2">
        <v>759975.48</v>
      </c>
      <c r="T874" s="1">
        <v>45755</v>
      </c>
      <c r="U874" s="5">
        <v>4</v>
      </c>
    </row>
    <row r="875" spans="1:21" x14ac:dyDescent="0.3">
      <c r="A875" s="5" t="s">
        <v>936</v>
      </c>
      <c r="B875" s="1">
        <v>45787</v>
      </c>
      <c r="C875" s="5" t="s">
        <v>18</v>
      </c>
      <c r="D875" s="5" t="s">
        <v>28</v>
      </c>
      <c r="E875" s="5" t="s">
        <v>54</v>
      </c>
      <c r="F875" s="5" t="s">
        <v>55</v>
      </c>
      <c r="G875" s="5" t="s">
        <v>38</v>
      </c>
      <c r="H875" s="5" t="s">
        <v>23</v>
      </c>
      <c r="I875" s="5">
        <v>201</v>
      </c>
      <c r="J875" s="5">
        <v>977</v>
      </c>
      <c r="K875" s="5">
        <v>1276.6400000000001</v>
      </c>
      <c r="L875" s="5">
        <v>1923</v>
      </c>
      <c r="M875" s="5">
        <v>124</v>
      </c>
      <c r="N875" s="5">
        <v>7</v>
      </c>
      <c r="O875" s="5" t="s">
        <v>24</v>
      </c>
      <c r="P875" s="5">
        <v>3478</v>
      </c>
      <c r="Q875" s="5" t="s">
        <v>25</v>
      </c>
      <c r="R875" s="2">
        <v>256604.64</v>
      </c>
      <c r="S875" s="2">
        <v>60227.64</v>
      </c>
      <c r="T875" s="1">
        <v>45787</v>
      </c>
      <c r="U875" s="5">
        <v>5</v>
      </c>
    </row>
    <row r="876" spans="1:21" x14ac:dyDescent="0.3">
      <c r="A876" s="5" t="s">
        <v>937</v>
      </c>
      <c r="B876" s="1">
        <v>45681</v>
      </c>
      <c r="C876" s="5" t="s">
        <v>35</v>
      </c>
      <c r="D876" s="5" t="s">
        <v>62</v>
      </c>
      <c r="E876" s="5" t="s">
        <v>49</v>
      </c>
      <c r="F876" s="5" t="s">
        <v>89</v>
      </c>
      <c r="G876" s="5" t="s">
        <v>38</v>
      </c>
      <c r="H876" s="5" t="s">
        <v>23</v>
      </c>
      <c r="I876" s="5">
        <v>202</v>
      </c>
      <c r="J876" s="5">
        <v>4308</v>
      </c>
      <c r="K876" s="5">
        <v>5428.51</v>
      </c>
      <c r="L876" s="5">
        <v>742</v>
      </c>
      <c r="M876" s="5">
        <v>139</v>
      </c>
      <c r="N876" s="5">
        <v>7</v>
      </c>
      <c r="O876" s="5" t="s">
        <v>24</v>
      </c>
      <c r="P876" s="5">
        <v>3906</v>
      </c>
      <c r="Q876" s="5" t="s">
        <v>46</v>
      </c>
      <c r="R876" s="2">
        <v>1096559.02</v>
      </c>
      <c r="S876" s="2">
        <v>226343.02</v>
      </c>
      <c r="T876" s="1">
        <v>45681</v>
      </c>
      <c r="U876" s="5">
        <v>1</v>
      </c>
    </row>
    <row r="877" spans="1:21" x14ac:dyDescent="0.3">
      <c r="A877" s="5" t="s">
        <v>938</v>
      </c>
      <c r="B877" s="1">
        <v>45824</v>
      </c>
      <c r="C877" s="5" t="s">
        <v>42</v>
      </c>
      <c r="D877" s="5" t="s">
        <v>62</v>
      </c>
      <c r="E877" s="5" t="s">
        <v>54</v>
      </c>
      <c r="F877" s="5" t="s">
        <v>63</v>
      </c>
      <c r="G877" s="5" t="s">
        <v>56</v>
      </c>
      <c r="H877" s="5" t="s">
        <v>51</v>
      </c>
      <c r="I877" s="5">
        <v>74</v>
      </c>
      <c r="J877" s="5">
        <v>1010</v>
      </c>
      <c r="K877" s="5">
        <v>1421.13</v>
      </c>
      <c r="L877" s="5">
        <v>1589</v>
      </c>
      <c r="M877" s="5">
        <v>293</v>
      </c>
      <c r="N877" s="5">
        <v>7</v>
      </c>
      <c r="O877" s="5" t="s">
        <v>24</v>
      </c>
      <c r="P877" s="5">
        <v>704</v>
      </c>
      <c r="Q877" s="5" t="s">
        <v>33</v>
      </c>
      <c r="R877" s="2">
        <v>105163.62</v>
      </c>
      <c r="S877" s="2">
        <v>30423.62</v>
      </c>
      <c r="T877" s="1">
        <v>45824</v>
      </c>
      <c r="U877" s="5">
        <v>6</v>
      </c>
    </row>
    <row r="878" spans="1:21" x14ac:dyDescent="0.3">
      <c r="A878" s="5" t="s">
        <v>939</v>
      </c>
      <c r="B878" s="1">
        <v>45684</v>
      </c>
      <c r="C878" s="5" t="s">
        <v>18</v>
      </c>
      <c r="D878" s="5" t="s">
        <v>62</v>
      </c>
      <c r="E878" s="5" t="s">
        <v>20</v>
      </c>
      <c r="F878" s="5" t="s">
        <v>60</v>
      </c>
      <c r="G878" s="5" t="s">
        <v>31</v>
      </c>
      <c r="H878" s="5" t="s">
        <v>51</v>
      </c>
      <c r="I878" s="5">
        <v>326</v>
      </c>
      <c r="J878" s="5">
        <v>3679</v>
      </c>
      <c r="K878" s="5">
        <v>4860.8100000000004</v>
      </c>
      <c r="L878" s="5">
        <v>1127</v>
      </c>
      <c r="M878" s="5">
        <v>195</v>
      </c>
      <c r="N878" s="5">
        <v>6</v>
      </c>
      <c r="O878" s="5" t="s">
        <v>24</v>
      </c>
      <c r="P878" s="5">
        <v>4890</v>
      </c>
      <c r="Q878" s="5" t="s">
        <v>40</v>
      </c>
      <c r="R878" s="2">
        <v>1584624.06</v>
      </c>
      <c r="S878" s="2">
        <v>385270.06</v>
      </c>
      <c r="T878" s="1">
        <v>45684</v>
      </c>
      <c r="U878" s="5">
        <v>1</v>
      </c>
    </row>
    <row r="879" spans="1:21" x14ac:dyDescent="0.3">
      <c r="A879" s="5" t="s">
        <v>940</v>
      </c>
      <c r="B879" s="1">
        <v>45659</v>
      </c>
      <c r="C879" s="5" t="s">
        <v>18</v>
      </c>
      <c r="D879" s="5" t="s">
        <v>53</v>
      </c>
      <c r="E879" s="5" t="s">
        <v>54</v>
      </c>
      <c r="F879" s="5" t="s">
        <v>87</v>
      </c>
      <c r="G879" s="5" t="s">
        <v>56</v>
      </c>
      <c r="H879" s="5" t="s">
        <v>23</v>
      </c>
      <c r="I879" s="5">
        <v>71</v>
      </c>
      <c r="J879" s="5">
        <v>4920</v>
      </c>
      <c r="K879" s="5">
        <v>5851.81</v>
      </c>
      <c r="L879" s="5">
        <v>1835</v>
      </c>
      <c r="M879" s="5">
        <v>108</v>
      </c>
      <c r="N879" s="5">
        <v>6</v>
      </c>
      <c r="O879" s="5" t="s">
        <v>24</v>
      </c>
      <c r="P879" s="5">
        <v>2218</v>
      </c>
      <c r="Q879" s="5" t="s">
        <v>40</v>
      </c>
      <c r="R879" s="2">
        <v>415478.51</v>
      </c>
      <c r="S879" s="2">
        <v>66158.509999999995</v>
      </c>
      <c r="T879" s="1">
        <v>45659</v>
      </c>
      <c r="U879" s="5">
        <v>1</v>
      </c>
    </row>
    <row r="880" spans="1:21" x14ac:dyDescent="0.3">
      <c r="A880" s="5" t="s">
        <v>941</v>
      </c>
      <c r="B880" s="1">
        <v>45837</v>
      </c>
      <c r="C880" s="5" t="s">
        <v>18</v>
      </c>
      <c r="D880" s="5" t="s">
        <v>19</v>
      </c>
      <c r="E880" s="5" t="s">
        <v>20</v>
      </c>
      <c r="F880" s="5" t="s">
        <v>100</v>
      </c>
      <c r="G880" s="5" t="s">
        <v>38</v>
      </c>
      <c r="H880" s="5" t="s">
        <v>39</v>
      </c>
      <c r="I880" s="5">
        <v>310</v>
      </c>
      <c r="J880" s="5">
        <v>1244</v>
      </c>
      <c r="K880" s="5">
        <v>1489.3</v>
      </c>
      <c r="L880" s="5">
        <v>818</v>
      </c>
      <c r="M880" s="5">
        <v>205</v>
      </c>
      <c r="N880" s="5">
        <v>4</v>
      </c>
      <c r="O880" s="5" t="s">
        <v>32</v>
      </c>
      <c r="P880" s="5">
        <v>6861</v>
      </c>
      <c r="Q880" s="5" t="s">
        <v>33</v>
      </c>
      <c r="R880" s="2">
        <v>461683</v>
      </c>
      <c r="S880" s="2">
        <v>76043</v>
      </c>
      <c r="T880" s="1">
        <v>45837</v>
      </c>
      <c r="U880" s="5">
        <v>6</v>
      </c>
    </row>
    <row r="881" spans="1:21" x14ac:dyDescent="0.3">
      <c r="A881" s="5" t="s">
        <v>942</v>
      </c>
      <c r="B881" s="1">
        <v>45953</v>
      </c>
      <c r="C881" s="5" t="s">
        <v>27</v>
      </c>
      <c r="D881" s="5" t="s">
        <v>19</v>
      </c>
      <c r="E881" s="5" t="s">
        <v>20</v>
      </c>
      <c r="F881" s="5" t="s">
        <v>45</v>
      </c>
      <c r="G881" s="5" t="s">
        <v>38</v>
      </c>
      <c r="H881" s="5" t="s">
        <v>23</v>
      </c>
      <c r="I881" s="5">
        <v>256</v>
      </c>
      <c r="J881" s="5">
        <v>3018</v>
      </c>
      <c r="K881" s="5">
        <v>4211.1099999999997</v>
      </c>
      <c r="L881" s="5">
        <v>994</v>
      </c>
      <c r="M881" s="5">
        <v>259</v>
      </c>
      <c r="N881" s="5">
        <v>2</v>
      </c>
      <c r="O881" s="5" t="s">
        <v>32</v>
      </c>
      <c r="P881" s="5">
        <v>7212</v>
      </c>
      <c r="Q881" s="5" t="s">
        <v>33</v>
      </c>
      <c r="R881" s="2">
        <v>1078044.1599999999</v>
      </c>
      <c r="S881" s="2">
        <v>305436.15999999997</v>
      </c>
      <c r="T881" s="1">
        <v>45953</v>
      </c>
      <c r="U881" s="5">
        <v>10</v>
      </c>
    </row>
    <row r="882" spans="1:21" x14ac:dyDescent="0.3">
      <c r="A882" s="5" t="s">
        <v>943</v>
      </c>
      <c r="B882" s="1">
        <v>45943</v>
      </c>
      <c r="C882" s="5" t="s">
        <v>27</v>
      </c>
      <c r="D882" s="5" t="s">
        <v>19</v>
      </c>
      <c r="E882" s="5" t="s">
        <v>29</v>
      </c>
      <c r="F882" s="5" t="s">
        <v>30</v>
      </c>
      <c r="G882" s="5" t="s">
        <v>31</v>
      </c>
      <c r="H882" s="5" t="s">
        <v>51</v>
      </c>
      <c r="I882" s="5">
        <v>289</v>
      </c>
      <c r="J882" s="5">
        <v>4655</v>
      </c>
      <c r="K882" s="5">
        <v>6050.26</v>
      </c>
      <c r="L882" s="5">
        <v>1788</v>
      </c>
      <c r="M882" s="5">
        <v>212</v>
      </c>
      <c r="N882" s="5">
        <v>6</v>
      </c>
      <c r="O882" s="5" t="s">
        <v>24</v>
      </c>
      <c r="P882" s="5">
        <v>5441</v>
      </c>
      <c r="Q882" s="5" t="s">
        <v>33</v>
      </c>
      <c r="R882" s="2">
        <v>1748525.14</v>
      </c>
      <c r="S882" s="2">
        <v>403230.14</v>
      </c>
      <c r="T882" s="1">
        <v>45943</v>
      </c>
      <c r="U882" s="5">
        <v>10</v>
      </c>
    </row>
    <row r="883" spans="1:21" x14ac:dyDescent="0.3">
      <c r="A883" s="5" t="s">
        <v>944</v>
      </c>
      <c r="B883" s="1">
        <v>46001</v>
      </c>
      <c r="C883" s="5" t="s">
        <v>27</v>
      </c>
      <c r="D883" s="5" t="s">
        <v>36</v>
      </c>
      <c r="E883" s="5" t="s">
        <v>49</v>
      </c>
      <c r="F883" s="5" t="s">
        <v>75</v>
      </c>
      <c r="G883" s="5" t="s">
        <v>56</v>
      </c>
      <c r="H883" s="5" t="s">
        <v>51</v>
      </c>
      <c r="I883" s="5">
        <v>61</v>
      </c>
      <c r="J883" s="5">
        <v>1685</v>
      </c>
      <c r="K883" s="5">
        <v>2011.98</v>
      </c>
      <c r="L883" s="5">
        <v>634</v>
      </c>
      <c r="M883" s="5">
        <v>286</v>
      </c>
      <c r="N883" s="5">
        <v>9</v>
      </c>
      <c r="O883" s="5" t="s">
        <v>24</v>
      </c>
      <c r="P883" s="5">
        <v>7182</v>
      </c>
      <c r="Q883" s="5" t="s">
        <v>40</v>
      </c>
      <c r="R883" s="2">
        <v>122730.78</v>
      </c>
      <c r="S883" s="2">
        <v>19945.78</v>
      </c>
      <c r="T883" s="1">
        <v>46001</v>
      </c>
      <c r="U883" s="5">
        <v>12</v>
      </c>
    </row>
    <row r="884" spans="1:21" x14ac:dyDescent="0.3">
      <c r="A884" s="5" t="s">
        <v>945</v>
      </c>
      <c r="B884" s="1">
        <v>45794</v>
      </c>
      <c r="C884" s="5" t="s">
        <v>42</v>
      </c>
      <c r="D884" s="5" t="s">
        <v>36</v>
      </c>
      <c r="E884" s="5" t="s">
        <v>49</v>
      </c>
      <c r="F884" s="5" t="s">
        <v>75</v>
      </c>
      <c r="G884" s="5" t="s">
        <v>22</v>
      </c>
      <c r="H884" s="5" t="s">
        <v>51</v>
      </c>
      <c r="I884" s="5">
        <v>470</v>
      </c>
      <c r="J884" s="5">
        <v>2318</v>
      </c>
      <c r="K884" s="5">
        <v>3266.45</v>
      </c>
      <c r="L884" s="5">
        <v>779</v>
      </c>
      <c r="M884" s="5">
        <v>141</v>
      </c>
      <c r="N884" s="5">
        <v>4</v>
      </c>
      <c r="O884" s="5" t="s">
        <v>24</v>
      </c>
      <c r="P884" s="5">
        <v>2341</v>
      </c>
      <c r="Q884" s="5" t="s">
        <v>25</v>
      </c>
      <c r="R884" s="2">
        <v>1535231.5</v>
      </c>
      <c r="S884" s="2">
        <v>445771.5</v>
      </c>
      <c r="T884" s="1">
        <v>45794</v>
      </c>
      <c r="U884" s="5">
        <v>5</v>
      </c>
    </row>
    <row r="885" spans="1:21" x14ac:dyDescent="0.3">
      <c r="A885" s="5" t="s">
        <v>946</v>
      </c>
      <c r="B885" s="1">
        <v>45782</v>
      </c>
      <c r="C885" s="5" t="s">
        <v>35</v>
      </c>
      <c r="D885" s="5" t="s">
        <v>62</v>
      </c>
      <c r="E885" s="5" t="s">
        <v>49</v>
      </c>
      <c r="F885" s="5" t="s">
        <v>65</v>
      </c>
      <c r="G885" s="5" t="s">
        <v>31</v>
      </c>
      <c r="H885" s="5" t="s">
        <v>51</v>
      </c>
      <c r="I885" s="5">
        <v>472</v>
      </c>
      <c r="J885" s="5">
        <v>3402</v>
      </c>
      <c r="K885" s="5">
        <v>4897.6000000000004</v>
      </c>
      <c r="L885" s="5">
        <v>1229</v>
      </c>
      <c r="M885" s="5">
        <v>118</v>
      </c>
      <c r="N885" s="5">
        <v>9</v>
      </c>
      <c r="O885" s="5" t="s">
        <v>24</v>
      </c>
      <c r="P885" s="5">
        <v>6403</v>
      </c>
      <c r="Q885" s="5" t="s">
        <v>46</v>
      </c>
      <c r="R885" s="2">
        <v>2311667.2000000002</v>
      </c>
      <c r="S885" s="2">
        <v>705923.2</v>
      </c>
      <c r="T885" s="1">
        <v>45782</v>
      </c>
      <c r="U885" s="5">
        <v>5</v>
      </c>
    </row>
    <row r="886" spans="1:21" x14ac:dyDescent="0.3">
      <c r="A886" s="5" t="s">
        <v>947</v>
      </c>
      <c r="B886" s="1">
        <v>45695</v>
      </c>
      <c r="C886" s="5" t="s">
        <v>35</v>
      </c>
      <c r="D886" s="5" t="s">
        <v>62</v>
      </c>
      <c r="E886" s="5" t="s">
        <v>49</v>
      </c>
      <c r="F886" s="5" t="s">
        <v>65</v>
      </c>
      <c r="G886" s="5" t="s">
        <v>38</v>
      </c>
      <c r="H886" s="5" t="s">
        <v>23</v>
      </c>
      <c r="I886" s="5">
        <v>133</v>
      </c>
      <c r="J886" s="5">
        <v>1176</v>
      </c>
      <c r="K886" s="5">
        <v>1680.55</v>
      </c>
      <c r="L886" s="5">
        <v>1869</v>
      </c>
      <c r="M886" s="5">
        <v>274</v>
      </c>
      <c r="N886" s="5">
        <v>6</v>
      </c>
      <c r="O886" s="5" t="s">
        <v>24</v>
      </c>
      <c r="P886" s="5">
        <v>3227</v>
      </c>
      <c r="Q886" s="5" t="s">
        <v>25</v>
      </c>
      <c r="R886" s="2">
        <v>223513.15</v>
      </c>
      <c r="S886" s="2">
        <v>67105.149999999994</v>
      </c>
      <c r="T886" s="1">
        <v>45695</v>
      </c>
      <c r="U886" s="5">
        <v>2</v>
      </c>
    </row>
    <row r="887" spans="1:21" x14ac:dyDescent="0.3">
      <c r="A887" s="5" t="s">
        <v>948</v>
      </c>
      <c r="B887" s="1">
        <v>45935</v>
      </c>
      <c r="C887" s="5" t="s">
        <v>42</v>
      </c>
      <c r="D887" s="5" t="s">
        <v>53</v>
      </c>
      <c r="E887" s="5" t="s">
        <v>20</v>
      </c>
      <c r="F887" s="5" t="s">
        <v>21</v>
      </c>
      <c r="G887" s="5" t="s">
        <v>38</v>
      </c>
      <c r="H887" s="5" t="s">
        <v>39</v>
      </c>
      <c r="I887" s="5">
        <v>79</v>
      </c>
      <c r="J887" s="5">
        <v>3337</v>
      </c>
      <c r="K887" s="5">
        <v>4957.16</v>
      </c>
      <c r="L887" s="5">
        <v>197</v>
      </c>
      <c r="M887" s="5">
        <v>222</v>
      </c>
      <c r="N887" s="5">
        <v>9</v>
      </c>
      <c r="O887" s="5" t="s">
        <v>24</v>
      </c>
      <c r="P887" s="5">
        <v>3694</v>
      </c>
      <c r="Q887" s="5" t="s">
        <v>46</v>
      </c>
      <c r="R887" s="2">
        <v>391615.64</v>
      </c>
      <c r="S887" s="2">
        <v>127992.64</v>
      </c>
      <c r="T887" s="1">
        <v>45935</v>
      </c>
      <c r="U887" s="5">
        <v>10</v>
      </c>
    </row>
    <row r="888" spans="1:21" x14ac:dyDescent="0.3">
      <c r="A888" s="5" t="s">
        <v>949</v>
      </c>
      <c r="B888" s="1">
        <v>45880</v>
      </c>
      <c r="C888" s="5" t="s">
        <v>27</v>
      </c>
      <c r="D888" s="5" t="s">
        <v>19</v>
      </c>
      <c r="E888" s="5" t="s">
        <v>20</v>
      </c>
      <c r="F888" s="5" t="s">
        <v>60</v>
      </c>
      <c r="G888" s="5" t="s">
        <v>56</v>
      </c>
      <c r="H888" s="5" t="s">
        <v>23</v>
      </c>
      <c r="I888" s="5">
        <v>444</v>
      </c>
      <c r="J888" s="5">
        <v>633</v>
      </c>
      <c r="K888" s="5">
        <v>846.65</v>
      </c>
      <c r="L888" s="5">
        <v>1234</v>
      </c>
      <c r="M888" s="5">
        <v>248</v>
      </c>
      <c r="N888" s="5">
        <v>4</v>
      </c>
      <c r="O888" s="5" t="s">
        <v>24</v>
      </c>
      <c r="P888" s="5">
        <v>6864</v>
      </c>
      <c r="Q888" s="5" t="s">
        <v>33</v>
      </c>
      <c r="R888" s="2">
        <v>375912.6</v>
      </c>
      <c r="S888" s="2">
        <v>94860.6</v>
      </c>
      <c r="T888" s="1">
        <v>45880</v>
      </c>
      <c r="U888" s="5">
        <v>8</v>
      </c>
    </row>
    <row r="889" spans="1:21" x14ac:dyDescent="0.3">
      <c r="A889" s="5" t="s">
        <v>950</v>
      </c>
      <c r="B889" s="1">
        <v>45742</v>
      </c>
      <c r="C889" s="5" t="s">
        <v>18</v>
      </c>
      <c r="D889" s="5" t="s">
        <v>28</v>
      </c>
      <c r="E889" s="5" t="s">
        <v>54</v>
      </c>
      <c r="F889" s="5" t="s">
        <v>78</v>
      </c>
      <c r="G889" s="5" t="s">
        <v>38</v>
      </c>
      <c r="H889" s="5" t="s">
        <v>39</v>
      </c>
      <c r="I889" s="5">
        <v>272</v>
      </c>
      <c r="J889" s="5">
        <v>4776</v>
      </c>
      <c r="K889" s="5">
        <v>6204.89</v>
      </c>
      <c r="L889" s="5">
        <v>225</v>
      </c>
      <c r="M889" s="5">
        <v>104</v>
      </c>
      <c r="N889" s="5">
        <v>10</v>
      </c>
      <c r="O889" s="5" t="s">
        <v>24</v>
      </c>
      <c r="P889" s="5">
        <v>4427</v>
      </c>
      <c r="Q889" s="5" t="s">
        <v>25</v>
      </c>
      <c r="R889" s="2">
        <v>1687730.08</v>
      </c>
      <c r="S889" s="2">
        <v>388658.08</v>
      </c>
      <c r="T889" s="1">
        <v>45742</v>
      </c>
      <c r="U889" s="5">
        <v>3</v>
      </c>
    </row>
    <row r="890" spans="1:21" x14ac:dyDescent="0.3">
      <c r="A890" s="5" t="s">
        <v>951</v>
      </c>
      <c r="B890" s="1">
        <v>45688</v>
      </c>
      <c r="C890" s="5" t="s">
        <v>18</v>
      </c>
      <c r="D890" s="5" t="s">
        <v>53</v>
      </c>
      <c r="E890" s="5" t="s">
        <v>20</v>
      </c>
      <c r="F890" s="5" t="s">
        <v>60</v>
      </c>
      <c r="G890" s="5" t="s">
        <v>56</v>
      </c>
      <c r="H890" s="5" t="s">
        <v>51</v>
      </c>
      <c r="I890" s="5">
        <v>270</v>
      </c>
      <c r="J890" s="5">
        <v>4084</v>
      </c>
      <c r="K890" s="5">
        <v>6039.06</v>
      </c>
      <c r="L890" s="5">
        <v>1210</v>
      </c>
      <c r="M890" s="5">
        <v>134</v>
      </c>
      <c r="N890" s="5">
        <v>3</v>
      </c>
      <c r="O890" s="5" t="s">
        <v>32</v>
      </c>
      <c r="P890" s="5">
        <v>1449</v>
      </c>
      <c r="Q890" s="5" t="s">
        <v>33</v>
      </c>
      <c r="R890" s="2">
        <v>1630546.2</v>
      </c>
      <c r="S890" s="2">
        <v>527866.19999999995</v>
      </c>
      <c r="T890" s="1">
        <v>45688</v>
      </c>
      <c r="U890" s="5">
        <v>1</v>
      </c>
    </row>
    <row r="891" spans="1:21" x14ac:dyDescent="0.3">
      <c r="A891" s="5" t="s">
        <v>952</v>
      </c>
      <c r="B891" s="1">
        <v>45674</v>
      </c>
      <c r="C891" s="5" t="s">
        <v>27</v>
      </c>
      <c r="D891" s="5" t="s">
        <v>53</v>
      </c>
      <c r="E891" s="5" t="s">
        <v>54</v>
      </c>
      <c r="F891" s="5" t="s">
        <v>87</v>
      </c>
      <c r="G891" s="5" t="s">
        <v>31</v>
      </c>
      <c r="H891" s="5" t="s">
        <v>51</v>
      </c>
      <c r="I891" s="5">
        <v>214</v>
      </c>
      <c r="J891" s="5">
        <v>3432</v>
      </c>
      <c r="K891" s="5">
        <v>4688.4799999999996</v>
      </c>
      <c r="L891" s="5">
        <v>571</v>
      </c>
      <c r="M891" s="5">
        <v>221</v>
      </c>
      <c r="N891" s="5">
        <v>6</v>
      </c>
      <c r="O891" s="5" t="s">
        <v>24</v>
      </c>
      <c r="P891" s="5">
        <v>514</v>
      </c>
      <c r="Q891" s="5" t="s">
        <v>46</v>
      </c>
      <c r="R891" s="2">
        <v>1003334.72</v>
      </c>
      <c r="S891" s="2">
        <v>268886.71999999997</v>
      </c>
      <c r="T891" s="1">
        <v>45674</v>
      </c>
      <c r="U891" s="5">
        <v>1</v>
      </c>
    </row>
    <row r="892" spans="1:21" x14ac:dyDescent="0.3">
      <c r="A892" s="5" t="s">
        <v>953</v>
      </c>
      <c r="B892" s="1">
        <v>45862</v>
      </c>
      <c r="C892" s="5" t="s">
        <v>18</v>
      </c>
      <c r="D892" s="5" t="s">
        <v>62</v>
      </c>
      <c r="E892" s="5" t="s">
        <v>20</v>
      </c>
      <c r="F892" s="5" t="s">
        <v>37</v>
      </c>
      <c r="G892" s="5" t="s">
        <v>31</v>
      </c>
      <c r="H892" s="5" t="s">
        <v>39</v>
      </c>
      <c r="I892" s="5">
        <v>108</v>
      </c>
      <c r="J892" s="5">
        <v>4625</v>
      </c>
      <c r="K892" s="5">
        <v>6504.85</v>
      </c>
      <c r="L892" s="5">
        <v>1690</v>
      </c>
      <c r="M892" s="5">
        <v>225</v>
      </c>
      <c r="N892" s="5">
        <v>2</v>
      </c>
      <c r="O892" s="5" t="s">
        <v>32</v>
      </c>
      <c r="P892" s="5">
        <v>1118</v>
      </c>
      <c r="Q892" s="5" t="s">
        <v>33</v>
      </c>
      <c r="R892" s="2">
        <v>702523.8</v>
      </c>
      <c r="S892" s="2">
        <v>203023.8</v>
      </c>
      <c r="T892" s="1">
        <v>45862</v>
      </c>
      <c r="U892" s="5">
        <v>7</v>
      </c>
    </row>
    <row r="893" spans="1:21" x14ac:dyDescent="0.3">
      <c r="A893" s="5" t="s">
        <v>954</v>
      </c>
      <c r="B893" s="1">
        <v>45885</v>
      </c>
      <c r="C893" s="5" t="s">
        <v>18</v>
      </c>
      <c r="D893" s="5" t="s">
        <v>36</v>
      </c>
      <c r="E893" s="5" t="s">
        <v>29</v>
      </c>
      <c r="F893" s="5" t="s">
        <v>43</v>
      </c>
      <c r="G893" s="5" t="s">
        <v>22</v>
      </c>
      <c r="H893" s="5" t="s">
        <v>23</v>
      </c>
      <c r="I893" s="5">
        <v>64</v>
      </c>
      <c r="J893" s="5">
        <v>4513</v>
      </c>
      <c r="K893" s="5">
        <v>5973.86</v>
      </c>
      <c r="L893" s="5">
        <v>1049</v>
      </c>
      <c r="M893" s="5">
        <v>164</v>
      </c>
      <c r="N893" s="5">
        <v>9</v>
      </c>
      <c r="O893" s="5" t="s">
        <v>24</v>
      </c>
      <c r="P893" s="5">
        <v>2944</v>
      </c>
      <c r="Q893" s="5" t="s">
        <v>33</v>
      </c>
      <c r="R893" s="2">
        <v>382327.03999999998</v>
      </c>
      <c r="S893" s="2">
        <v>93495.039999999994</v>
      </c>
      <c r="T893" s="1">
        <v>45885</v>
      </c>
      <c r="U893" s="5">
        <v>8</v>
      </c>
    </row>
    <row r="894" spans="1:21" x14ac:dyDescent="0.3">
      <c r="A894" s="5" t="s">
        <v>955</v>
      </c>
      <c r="B894" s="1">
        <v>45666</v>
      </c>
      <c r="C894" s="5" t="s">
        <v>35</v>
      </c>
      <c r="D894" s="5" t="s">
        <v>53</v>
      </c>
      <c r="E894" s="5" t="s">
        <v>29</v>
      </c>
      <c r="F894" s="5" t="s">
        <v>43</v>
      </c>
      <c r="G894" s="5" t="s">
        <v>22</v>
      </c>
      <c r="H894" s="5" t="s">
        <v>51</v>
      </c>
      <c r="I894" s="5">
        <v>52</v>
      </c>
      <c r="J894" s="5">
        <v>682</v>
      </c>
      <c r="K894" s="5">
        <v>807.15</v>
      </c>
      <c r="L894" s="5">
        <v>967</v>
      </c>
      <c r="M894" s="5">
        <v>151</v>
      </c>
      <c r="N894" s="5">
        <v>5</v>
      </c>
      <c r="O894" s="5" t="s">
        <v>32</v>
      </c>
      <c r="P894" s="5">
        <v>6358</v>
      </c>
      <c r="Q894" s="5" t="s">
        <v>33</v>
      </c>
      <c r="R894" s="2">
        <v>41971.8</v>
      </c>
      <c r="S894" s="2">
        <v>6507.8</v>
      </c>
      <c r="T894" s="1">
        <v>45666</v>
      </c>
      <c r="U894" s="5">
        <v>1</v>
      </c>
    </row>
    <row r="895" spans="1:21" x14ac:dyDescent="0.3">
      <c r="A895" s="5" t="s">
        <v>956</v>
      </c>
      <c r="B895" s="1">
        <v>45811</v>
      </c>
      <c r="C895" s="5" t="s">
        <v>42</v>
      </c>
      <c r="D895" s="5" t="s">
        <v>53</v>
      </c>
      <c r="E895" s="5" t="s">
        <v>29</v>
      </c>
      <c r="F895" s="5" t="s">
        <v>73</v>
      </c>
      <c r="G895" s="5" t="s">
        <v>38</v>
      </c>
      <c r="H895" s="5" t="s">
        <v>51</v>
      </c>
      <c r="I895" s="5">
        <v>468</v>
      </c>
      <c r="J895" s="5">
        <v>3091</v>
      </c>
      <c r="K895" s="5">
        <v>4616.6099999999997</v>
      </c>
      <c r="L895" s="5">
        <v>67</v>
      </c>
      <c r="M895" s="5">
        <v>198</v>
      </c>
      <c r="N895" s="5">
        <v>8</v>
      </c>
      <c r="O895" s="5" t="s">
        <v>24</v>
      </c>
      <c r="P895" s="5">
        <v>7749</v>
      </c>
      <c r="Q895" s="5" t="s">
        <v>33</v>
      </c>
      <c r="R895" s="2">
        <v>2160573.48</v>
      </c>
      <c r="S895" s="2">
        <v>713985.48</v>
      </c>
      <c r="T895" s="1">
        <v>45811</v>
      </c>
      <c r="U895" s="5">
        <v>6</v>
      </c>
    </row>
    <row r="896" spans="1:21" x14ac:dyDescent="0.3">
      <c r="A896" s="5" t="s">
        <v>957</v>
      </c>
      <c r="B896" s="1">
        <v>45695</v>
      </c>
      <c r="C896" s="5" t="s">
        <v>18</v>
      </c>
      <c r="D896" s="5" t="s">
        <v>19</v>
      </c>
      <c r="E896" s="5" t="s">
        <v>20</v>
      </c>
      <c r="F896" s="5" t="s">
        <v>100</v>
      </c>
      <c r="G896" s="5" t="s">
        <v>56</v>
      </c>
      <c r="H896" s="5" t="s">
        <v>39</v>
      </c>
      <c r="I896" s="5">
        <v>321</v>
      </c>
      <c r="J896" s="5">
        <v>1452</v>
      </c>
      <c r="K896" s="5">
        <v>1944.33</v>
      </c>
      <c r="L896" s="5">
        <v>524</v>
      </c>
      <c r="M896" s="5">
        <v>154</v>
      </c>
      <c r="N896" s="5">
        <v>5</v>
      </c>
      <c r="O896" s="5" t="s">
        <v>32</v>
      </c>
      <c r="P896" s="5">
        <v>3062</v>
      </c>
      <c r="Q896" s="5" t="s">
        <v>33</v>
      </c>
      <c r="R896" s="2">
        <v>624129.93000000005</v>
      </c>
      <c r="S896" s="2">
        <v>158037.93</v>
      </c>
      <c r="T896" s="1">
        <v>45695</v>
      </c>
      <c r="U896" s="5">
        <v>2</v>
      </c>
    </row>
    <row r="897" spans="1:21" x14ac:dyDescent="0.3">
      <c r="A897" s="5" t="s">
        <v>958</v>
      </c>
      <c r="B897" s="1">
        <v>45849</v>
      </c>
      <c r="C897" s="5" t="s">
        <v>27</v>
      </c>
      <c r="D897" s="5" t="s">
        <v>28</v>
      </c>
      <c r="E897" s="5" t="s">
        <v>49</v>
      </c>
      <c r="F897" s="5" t="s">
        <v>75</v>
      </c>
      <c r="G897" s="5" t="s">
        <v>56</v>
      </c>
      <c r="H897" s="5" t="s">
        <v>39</v>
      </c>
      <c r="I897" s="5">
        <v>188</v>
      </c>
      <c r="J897" s="5">
        <v>4519</v>
      </c>
      <c r="K897" s="5">
        <v>5621.9</v>
      </c>
      <c r="L897" s="5">
        <v>1334</v>
      </c>
      <c r="M897" s="5">
        <v>99</v>
      </c>
      <c r="N897" s="5">
        <v>8</v>
      </c>
      <c r="O897" s="5" t="s">
        <v>24</v>
      </c>
      <c r="P897" s="5">
        <v>6534</v>
      </c>
      <c r="Q897" s="5" t="s">
        <v>40</v>
      </c>
      <c r="R897" s="2">
        <v>1056917.2</v>
      </c>
      <c r="S897" s="2">
        <v>207345.2</v>
      </c>
      <c r="T897" s="1">
        <v>45849</v>
      </c>
      <c r="U897" s="5">
        <v>7</v>
      </c>
    </row>
    <row r="898" spans="1:21" x14ac:dyDescent="0.3">
      <c r="A898" s="5" t="s">
        <v>959</v>
      </c>
      <c r="B898" s="1">
        <v>45975</v>
      </c>
      <c r="C898" s="5" t="s">
        <v>27</v>
      </c>
      <c r="D898" s="5" t="s">
        <v>19</v>
      </c>
      <c r="E898" s="5" t="s">
        <v>20</v>
      </c>
      <c r="F898" s="5" t="s">
        <v>37</v>
      </c>
      <c r="G898" s="5" t="s">
        <v>31</v>
      </c>
      <c r="H898" s="5" t="s">
        <v>39</v>
      </c>
      <c r="I898" s="5">
        <v>199</v>
      </c>
      <c r="J898" s="5">
        <v>1064</v>
      </c>
      <c r="K898" s="5">
        <v>1344.2</v>
      </c>
      <c r="L898" s="5">
        <v>1219</v>
      </c>
      <c r="M898" s="5">
        <v>114</v>
      </c>
      <c r="N898" s="5">
        <v>4</v>
      </c>
      <c r="O898" s="5" t="s">
        <v>32</v>
      </c>
      <c r="P898" s="5">
        <v>734</v>
      </c>
      <c r="Q898" s="5" t="s">
        <v>33</v>
      </c>
      <c r="R898" s="2">
        <v>267495.8</v>
      </c>
      <c r="S898" s="2">
        <v>55759.8</v>
      </c>
      <c r="T898" s="1">
        <v>45975</v>
      </c>
      <c r="U898" s="5">
        <v>11</v>
      </c>
    </row>
    <row r="899" spans="1:21" x14ac:dyDescent="0.3">
      <c r="A899" s="5" t="s">
        <v>960</v>
      </c>
      <c r="B899" s="1">
        <v>45971</v>
      </c>
      <c r="C899" s="5" t="s">
        <v>35</v>
      </c>
      <c r="D899" s="5" t="s">
        <v>53</v>
      </c>
      <c r="E899" s="5" t="s">
        <v>49</v>
      </c>
      <c r="F899" s="5" t="s">
        <v>65</v>
      </c>
      <c r="G899" s="5" t="s">
        <v>22</v>
      </c>
      <c r="H899" s="5" t="s">
        <v>23</v>
      </c>
      <c r="I899" s="5">
        <v>237</v>
      </c>
      <c r="J899" s="5">
        <v>4731</v>
      </c>
      <c r="K899" s="5">
        <v>6280.51</v>
      </c>
      <c r="L899" s="5">
        <v>1596</v>
      </c>
      <c r="M899" s="5">
        <v>107</v>
      </c>
      <c r="N899" s="5">
        <v>8</v>
      </c>
      <c r="O899" s="5" t="s">
        <v>24</v>
      </c>
      <c r="P899" s="5">
        <v>1201</v>
      </c>
      <c r="Q899" s="5" t="s">
        <v>33</v>
      </c>
      <c r="R899" s="2">
        <v>1488480.87</v>
      </c>
      <c r="S899" s="2">
        <v>367233.87</v>
      </c>
      <c r="T899" s="1">
        <v>45971</v>
      </c>
      <c r="U899" s="5">
        <v>11</v>
      </c>
    </row>
    <row r="900" spans="1:21" x14ac:dyDescent="0.3">
      <c r="A900" s="5" t="s">
        <v>961</v>
      </c>
      <c r="B900" s="1">
        <v>45856</v>
      </c>
      <c r="C900" s="5" t="s">
        <v>18</v>
      </c>
      <c r="D900" s="5" t="s">
        <v>62</v>
      </c>
      <c r="E900" s="5" t="s">
        <v>20</v>
      </c>
      <c r="F900" s="5" t="s">
        <v>21</v>
      </c>
      <c r="G900" s="5" t="s">
        <v>31</v>
      </c>
      <c r="H900" s="5" t="s">
        <v>51</v>
      </c>
      <c r="I900" s="5">
        <v>27</v>
      </c>
      <c r="J900" s="5">
        <v>4220</v>
      </c>
      <c r="K900" s="5">
        <v>5566.16</v>
      </c>
      <c r="L900" s="5">
        <v>1107</v>
      </c>
      <c r="M900" s="5">
        <v>287</v>
      </c>
      <c r="N900" s="5">
        <v>5</v>
      </c>
      <c r="O900" s="5" t="s">
        <v>24</v>
      </c>
      <c r="P900" s="5">
        <v>4228</v>
      </c>
      <c r="Q900" s="5" t="s">
        <v>46</v>
      </c>
      <c r="R900" s="2">
        <v>150286.32</v>
      </c>
      <c r="S900" s="2">
        <v>36346.32</v>
      </c>
      <c r="T900" s="1">
        <v>45856</v>
      </c>
      <c r="U900" s="5">
        <v>7</v>
      </c>
    </row>
    <row r="901" spans="1:21" x14ac:dyDescent="0.3">
      <c r="A901" s="5" t="s">
        <v>962</v>
      </c>
      <c r="B901" s="1">
        <v>45714</v>
      </c>
      <c r="C901" s="5" t="s">
        <v>42</v>
      </c>
      <c r="D901" s="5" t="s">
        <v>28</v>
      </c>
      <c r="E901" s="5" t="s">
        <v>49</v>
      </c>
      <c r="F901" s="5" t="s">
        <v>75</v>
      </c>
      <c r="G901" s="5" t="s">
        <v>22</v>
      </c>
      <c r="H901" s="5" t="s">
        <v>39</v>
      </c>
      <c r="I901" s="5">
        <v>405</v>
      </c>
      <c r="J901" s="5">
        <v>4241</v>
      </c>
      <c r="K901" s="5">
        <v>5971.15</v>
      </c>
      <c r="L901" s="5">
        <v>96</v>
      </c>
      <c r="M901" s="5">
        <v>109</v>
      </c>
      <c r="N901" s="5">
        <v>4</v>
      </c>
      <c r="O901" s="5" t="s">
        <v>32</v>
      </c>
      <c r="P901" s="5">
        <v>628</v>
      </c>
      <c r="Q901" s="5" t="s">
        <v>33</v>
      </c>
      <c r="R901" s="2">
        <v>2418315.75</v>
      </c>
      <c r="S901" s="2">
        <v>700710.75</v>
      </c>
      <c r="T901" s="1">
        <v>45714</v>
      </c>
      <c r="U901" s="5">
        <v>2</v>
      </c>
    </row>
    <row r="902" spans="1:21" x14ac:dyDescent="0.3">
      <c r="A902" s="5" t="s">
        <v>963</v>
      </c>
      <c r="B902" s="1">
        <v>45713</v>
      </c>
      <c r="C902" s="5" t="s">
        <v>42</v>
      </c>
      <c r="D902" s="5" t="s">
        <v>36</v>
      </c>
      <c r="E902" s="5" t="s">
        <v>20</v>
      </c>
      <c r="F902" s="5" t="s">
        <v>37</v>
      </c>
      <c r="G902" s="5" t="s">
        <v>38</v>
      </c>
      <c r="H902" s="5" t="s">
        <v>51</v>
      </c>
      <c r="I902" s="5">
        <v>327</v>
      </c>
      <c r="J902" s="5">
        <v>2104</v>
      </c>
      <c r="K902" s="5">
        <v>2568.2600000000002</v>
      </c>
      <c r="L902" s="5">
        <v>1699</v>
      </c>
      <c r="M902" s="5">
        <v>146</v>
      </c>
      <c r="N902" s="5">
        <v>3</v>
      </c>
      <c r="O902" s="5" t="s">
        <v>32</v>
      </c>
      <c r="P902" s="5">
        <v>2537</v>
      </c>
      <c r="Q902" s="5" t="s">
        <v>33</v>
      </c>
      <c r="R902" s="2">
        <v>839821.02</v>
      </c>
      <c r="S902" s="2">
        <v>151813.01999999999</v>
      </c>
      <c r="T902" s="1">
        <v>45713</v>
      </c>
      <c r="U902" s="5">
        <v>2</v>
      </c>
    </row>
    <row r="903" spans="1:21" x14ac:dyDescent="0.3">
      <c r="A903" s="5" t="s">
        <v>964</v>
      </c>
      <c r="B903" s="1">
        <v>45670</v>
      </c>
      <c r="C903" s="5" t="s">
        <v>35</v>
      </c>
      <c r="D903" s="5" t="s">
        <v>28</v>
      </c>
      <c r="E903" s="5" t="s">
        <v>20</v>
      </c>
      <c r="F903" s="5" t="s">
        <v>60</v>
      </c>
      <c r="G903" s="5" t="s">
        <v>38</v>
      </c>
      <c r="H903" s="5" t="s">
        <v>51</v>
      </c>
      <c r="I903" s="5">
        <v>282</v>
      </c>
      <c r="J903" s="5">
        <v>1341</v>
      </c>
      <c r="K903" s="5">
        <v>1674.9</v>
      </c>
      <c r="L903" s="5">
        <v>1541</v>
      </c>
      <c r="M903" s="5">
        <v>265</v>
      </c>
      <c r="N903" s="5">
        <v>5</v>
      </c>
      <c r="O903" s="5" t="s">
        <v>32</v>
      </c>
      <c r="P903" s="5">
        <v>4665</v>
      </c>
      <c r="Q903" s="5" t="s">
        <v>33</v>
      </c>
      <c r="R903" s="2">
        <v>472321.8</v>
      </c>
      <c r="S903" s="2">
        <v>94159.8</v>
      </c>
      <c r="T903" s="1">
        <v>45670</v>
      </c>
      <c r="U903" s="5">
        <v>1</v>
      </c>
    </row>
    <row r="904" spans="1:21" x14ac:dyDescent="0.3">
      <c r="A904" s="5" t="s">
        <v>965</v>
      </c>
      <c r="B904" s="1">
        <v>45981</v>
      </c>
      <c r="C904" s="5" t="s">
        <v>42</v>
      </c>
      <c r="D904" s="5" t="s">
        <v>53</v>
      </c>
      <c r="E904" s="5" t="s">
        <v>49</v>
      </c>
      <c r="F904" s="5" t="s">
        <v>89</v>
      </c>
      <c r="G904" s="5" t="s">
        <v>56</v>
      </c>
      <c r="H904" s="5" t="s">
        <v>39</v>
      </c>
      <c r="I904" s="5">
        <v>299</v>
      </c>
      <c r="J904" s="5">
        <v>3322</v>
      </c>
      <c r="K904" s="5">
        <v>4064.39</v>
      </c>
      <c r="L904" s="5">
        <v>1374</v>
      </c>
      <c r="M904" s="5">
        <v>204</v>
      </c>
      <c r="N904" s="5">
        <v>7</v>
      </c>
      <c r="O904" s="5" t="s">
        <v>24</v>
      </c>
      <c r="P904" s="5">
        <v>4667</v>
      </c>
      <c r="Q904" s="5" t="s">
        <v>33</v>
      </c>
      <c r="R904" s="2">
        <v>1215252.6100000001</v>
      </c>
      <c r="S904" s="2">
        <v>221974.61</v>
      </c>
      <c r="T904" s="1">
        <v>45981</v>
      </c>
      <c r="U904" s="5">
        <v>11</v>
      </c>
    </row>
    <row r="905" spans="1:21" x14ac:dyDescent="0.3">
      <c r="A905" s="5" t="s">
        <v>966</v>
      </c>
      <c r="B905" s="1">
        <v>45708</v>
      </c>
      <c r="C905" s="5" t="s">
        <v>18</v>
      </c>
      <c r="D905" s="5" t="s">
        <v>19</v>
      </c>
      <c r="E905" s="5" t="s">
        <v>49</v>
      </c>
      <c r="F905" s="5" t="s">
        <v>65</v>
      </c>
      <c r="G905" s="5" t="s">
        <v>38</v>
      </c>
      <c r="H905" s="5" t="s">
        <v>51</v>
      </c>
      <c r="I905" s="5">
        <v>307</v>
      </c>
      <c r="J905" s="5">
        <v>1351</v>
      </c>
      <c r="K905" s="5">
        <v>1710.46</v>
      </c>
      <c r="L905" s="5">
        <v>181</v>
      </c>
      <c r="M905" s="5">
        <v>218</v>
      </c>
      <c r="N905" s="5">
        <v>6</v>
      </c>
      <c r="O905" s="5" t="s">
        <v>24</v>
      </c>
      <c r="P905" s="5">
        <v>3560</v>
      </c>
      <c r="Q905" s="5" t="s">
        <v>46</v>
      </c>
      <c r="R905" s="2">
        <v>525111.22</v>
      </c>
      <c r="S905" s="2">
        <v>110354.22</v>
      </c>
      <c r="T905" s="1">
        <v>45708</v>
      </c>
      <c r="U905" s="5">
        <v>2</v>
      </c>
    </row>
    <row r="906" spans="1:21" x14ac:dyDescent="0.3">
      <c r="A906" s="5" t="s">
        <v>967</v>
      </c>
      <c r="B906" s="1">
        <v>45739</v>
      </c>
      <c r="C906" s="5" t="s">
        <v>35</v>
      </c>
      <c r="D906" s="5" t="s">
        <v>53</v>
      </c>
      <c r="E906" s="5" t="s">
        <v>54</v>
      </c>
      <c r="F906" s="5" t="s">
        <v>87</v>
      </c>
      <c r="G906" s="5" t="s">
        <v>38</v>
      </c>
      <c r="H906" s="5" t="s">
        <v>23</v>
      </c>
      <c r="I906" s="5">
        <v>22</v>
      </c>
      <c r="J906" s="5">
        <v>3891</v>
      </c>
      <c r="K906" s="5">
        <v>5489.83</v>
      </c>
      <c r="L906" s="5">
        <v>86</v>
      </c>
      <c r="M906" s="5">
        <v>174</v>
      </c>
      <c r="N906" s="5">
        <v>9</v>
      </c>
      <c r="O906" s="5" t="s">
        <v>24</v>
      </c>
      <c r="P906" s="5">
        <v>1912</v>
      </c>
      <c r="Q906" s="5" t="s">
        <v>40</v>
      </c>
      <c r="R906" s="2">
        <v>120776.26</v>
      </c>
      <c r="S906" s="2">
        <v>35174.26</v>
      </c>
      <c r="T906" s="1">
        <v>45739</v>
      </c>
      <c r="U906" s="5">
        <v>3</v>
      </c>
    </row>
    <row r="907" spans="1:21" x14ac:dyDescent="0.3">
      <c r="A907" s="5" t="s">
        <v>968</v>
      </c>
      <c r="B907" s="1">
        <v>45809</v>
      </c>
      <c r="C907" s="5" t="s">
        <v>42</v>
      </c>
      <c r="D907" s="5" t="s">
        <v>36</v>
      </c>
      <c r="E907" s="5" t="s">
        <v>29</v>
      </c>
      <c r="F907" s="5" t="s">
        <v>58</v>
      </c>
      <c r="G907" s="5" t="s">
        <v>56</v>
      </c>
      <c r="H907" s="5" t="s">
        <v>51</v>
      </c>
      <c r="I907" s="5">
        <v>15</v>
      </c>
      <c r="J907" s="5">
        <v>3703</v>
      </c>
      <c r="K907" s="5">
        <v>4679.7</v>
      </c>
      <c r="L907" s="5">
        <v>813</v>
      </c>
      <c r="M907" s="5">
        <v>213</v>
      </c>
      <c r="N907" s="5">
        <v>4</v>
      </c>
      <c r="O907" s="5" t="s">
        <v>32</v>
      </c>
      <c r="P907" s="5">
        <v>6020</v>
      </c>
      <c r="Q907" s="5" t="s">
        <v>33</v>
      </c>
      <c r="R907" s="2">
        <v>70195.5</v>
      </c>
      <c r="S907" s="2">
        <v>14650.5</v>
      </c>
      <c r="T907" s="1">
        <v>45809</v>
      </c>
      <c r="U907" s="5">
        <v>6</v>
      </c>
    </row>
    <row r="908" spans="1:21" x14ac:dyDescent="0.3">
      <c r="A908" s="5" t="s">
        <v>969</v>
      </c>
      <c r="B908" s="1">
        <v>45740</v>
      </c>
      <c r="C908" s="5" t="s">
        <v>35</v>
      </c>
      <c r="D908" s="5" t="s">
        <v>19</v>
      </c>
      <c r="E908" s="5" t="s">
        <v>29</v>
      </c>
      <c r="F908" s="5" t="s">
        <v>30</v>
      </c>
      <c r="G908" s="5" t="s">
        <v>22</v>
      </c>
      <c r="H908" s="5" t="s">
        <v>51</v>
      </c>
      <c r="I908" s="5">
        <v>374</v>
      </c>
      <c r="J908" s="5">
        <v>1479</v>
      </c>
      <c r="K908" s="5">
        <v>1795.37</v>
      </c>
      <c r="L908" s="5">
        <v>1489</v>
      </c>
      <c r="M908" s="5">
        <v>215</v>
      </c>
      <c r="N908" s="5">
        <v>7</v>
      </c>
      <c r="O908" s="5" t="s">
        <v>24</v>
      </c>
      <c r="P908" s="5">
        <v>5365</v>
      </c>
      <c r="Q908" s="5" t="s">
        <v>46</v>
      </c>
      <c r="R908" s="2">
        <v>671468.38</v>
      </c>
      <c r="S908" s="2">
        <v>118322.38</v>
      </c>
      <c r="T908" s="1">
        <v>45740</v>
      </c>
      <c r="U908" s="5">
        <v>3</v>
      </c>
    </row>
    <row r="909" spans="1:21" x14ac:dyDescent="0.3">
      <c r="A909" s="5" t="s">
        <v>970</v>
      </c>
      <c r="B909" s="1">
        <v>45721</v>
      </c>
      <c r="C909" s="5" t="s">
        <v>18</v>
      </c>
      <c r="D909" s="5" t="s">
        <v>28</v>
      </c>
      <c r="E909" s="5" t="s">
        <v>20</v>
      </c>
      <c r="F909" s="5" t="s">
        <v>21</v>
      </c>
      <c r="G909" s="5" t="s">
        <v>38</v>
      </c>
      <c r="H909" s="5" t="s">
        <v>23</v>
      </c>
      <c r="I909" s="5">
        <v>284</v>
      </c>
      <c r="J909" s="5">
        <v>1234</v>
      </c>
      <c r="K909" s="5">
        <v>1507.8</v>
      </c>
      <c r="L909" s="5">
        <v>1844</v>
      </c>
      <c r="M909" s="5">
        <v>255</v>
      </c>
      <c r="N909" s="5">
        <v>3</v>
      </c>
      <c r="O909" s="5" t="s">
        <v>32</v>
      </c>
      <c r="P909" s="5">
        <v>4445</v>
      </c>
      <c r="Q909" s="5" t="s">
        <v>33</v>
      </c>
      <c r="R909" s="2">
        <v>428215.2</v>
      </c>
      <c r="S909" s="2">
        <v>77759.199999999997</v>
      </c>
      <c r="T909" s="1">
        <v>45721</v>
      </c>
      <c r="U909" s="5">
        <v>3</v>
      </c>
    </row>
    <row r="910" spans="1:21" x14ac:dyDescent="0.3">
      <c r="A910" s="5" t="s">
        <v>971</v>
      </c>
      <c r="B910" s="1">
        <v>46005</v>
      </c>
      <c r="C910" s="5" t="s">
        <v>42</v>
      </c>
      <c r="D910" s="5" t="s">
        <v>28</v>
      </c>
      <c r="E910" s="5" t="s">
        <v>20</v>
      </c>
      <c r="F910" s="5" t="s">
        <v>37</v>
      </c>
      <c r="G910" s="5" t="s">
        <v>22</v>
      </c>
      <c r="H910" s="5" t="s">
        <v>51</v>
      </c>
      <c r="I910" s="5">
        <v>453</v>
      </c>
      <c r="J910" s="5">
        <v>3846</v>
      </c>
      <c r="K910" s="5">
        <v>5567.78</v>
      </c>
      <c r="L910" s="5">
        <v>1362</v>
      </c>
      <c r="M910" s="5">
        <v>146</v>
      </c>
      <c r="N910" s="5">
        <v>7</v>
      </c>
      <c r="O910" s="5" t="s">
        <v>24</v>
      </c>
      <c r="P910" s="5">
        <v>1645</v>
      </c>
      <c r="Q910" s="5" t="s">
        <v>33</v>
      </c>
      <c r="R910" s="2">
        <v>2522204.34</v>
      </c>
      <c r="S910" s="2">
        <v>779966.34</v>
      </c>
      <c r="T910" s="1">
        <v>46005</v>
      </c>
      <c r="U910" s="5">
        <v>12</v>
      </c>
    </row>
    <row r="911" spans="1:21" x14ac:dyDescent="0.3">
      <c r="A911" s="5" t="s">
        <v>972</v>
      </c>
      <c r="B911" s="1">
        <v>45944</v>
      </c>
      <c r="C911" s="5" t="s">
        <v>42</v>
      </c>
      <c r="D911" s="5" t="s">
        <v>36</v>
      </c>
      <c r="E911" s="5" t="s">
        <v>49</v>
      </c>
      <c r="F911" s="5" t="s">
        <v>65</v>
      </c>
      <c r="G911" s="5" t="s">
        <v>31</v>
      </c>
      <c r="H911" s="5" t="s">
        <v>39</v>
      </c>
      <c r="I911" s="5">
        <v>174</v>
      </c>
      <c r="J911" s="5">
        <v>2813</v>
      </c>
      <c r="K911" s="5">
        <v>4052.41</v>
      </c>
      <c r="L911" s="5">
        <v>1013</v>
      </c>
      <c r="M911" s="5">
        <v>256</v>
      </c>
      <c r="N911" s="5">
        <v>5</v>
      </c>
      <c r="O911" s="5" t="s">
        <v>32</v>
      </c>
      <c r="P911" s="5">
        <v>6768</v>
      </c>
      <c r="Q911" s="5" t="s">
        <v>25</v>
      </c>
      <c r="R911" s="2">
        <v>705119.34</v>
      </c>
      <c r="S911" s="2">
        <v>215657.34</v>
      </c>
      <c r="T911" s="1">
        <v>45944</v>
      </c>
      <c r="U911" s="5">
        <v>10</v>
      </c>
    </row>
    <row r="912" spans="1:21" x14ac:dyDescent="0.3">
      <c r="A912" s="5" t="s">
        <v>973</v>
      </c>
      <c r="B912" s="1">
        <v>45770</v>
      </c>
      <c r="C912" s="5" t="s">
        <v>42</v>
      </c>
      <c r="D912" s="5" t="s">
        <v>62</v>
      </c>
      <c r="E912" s="5" t="s">
        <v>20</v>
      </c>
      <c r="F912" s="5" t="s">
        <v>37</v>
      </c>
      <c r="G912" s="5" t="s">
        <v>31</v>
      </c>
      <c r="H912" s="5" t="s">
        <v>23</v>
      </c>
      <c r="I912" s="5">
        <v>288</v>
      </c>
      <c r="J912" s="5">
        <v>2051</v>
      </c>
      <c r="K912" s="5">
        <v>2555.2199999999998</v>
      </c>
      <c r="L912" s="5">
        <v>80</v>
      </c>
      <c r="M912" s="5">
        <v>264</v>
      </c>
      <c r="N912" s="5">
        <v>4</v>
      </c>
      <c r="O912" s="5" t="s">
        <v>32</v>
      </c>
      <c r="P912" s="5">
        <v>6238</v>
      </c>
      <c r="Q912" s="5" t="s">
        <v>33</v>
      </c>
      <c r="R912" s="2">
        <v>735903.36</v>
      </c>
      <c r="S912" s="2">
        <v>145215.35999999999</v>
      </c>
      <c r="T912" s="1">
        <v>45770</v>
      </c>
      <c r="U912" s="5">
        <v>4</v>
      </c>
    </row>
    <row r="913" spans="1:21" x14ac:dyDescent="0.3">
      <c r="A913" s="5" t="s">
        <v>974</v>
      </c>
      <c r="B913" s="1">
        <v>45818</v>
      </c>
      <c r="C913" s="5" t="s">
        <v>27</v>
      </c>
      <c r="D913" s="5" t="s">
        <v>28</v>
      </c>
      <c r="E913" s="5" t="s">
        <v>29</v>
      </c>
      <c r="F913" s="5" t="s">
        <v>30</v>
      </c>
      <c r="G913" s="5" t="s">
        <v>38</v>
      </c>
      <c r="H913" s="5" t="s">
        <v>51</v>
      </c>
      <c r="I913" s="5">
        <v>423</v>
      </c>
      <c r="J913" s="5">
        <v>3982</v>
      </c>
      <c r="K913" s="5">
        <v>5426.74</v>
      </c>
      <c r="L913" s="5">
        <v>1253</v>
      </c>
      <c r="M913" s="5">
        <v>257</v>
      </c>
      <c r="N913" s="5">
        <v>1</v>
      </c>
      <c r="O913" s="5" t="s">
        <v>32</v>
      </c>
      <c r="P913" s="5">
        <v>658</v>
      </c>
      <c r="Q913" s="5" t="s">
        <v>33</v>
      </c>
      <c r="R913" s="2">
        <v>2295511.02</v>
      </c>
      <c r="S913" s="2">
        <v>611125.02</v>
      </c>
      <c r="T913" s="1">
        <v>45818</v>
      </c>
      <c r="U913" s="5">
        <v>6</v>
      </c>
    </row>
    <row r="914" spans="1:21" x14ac:dyDescent="0.3">
      <c r="A914" s="5" t="s">
        <v>975</v>
      </c>
      <c r="B914" s="1">
        <v>46021</v>
      </c>
      <c r="C914" s="5" t="s">
        <v>27</v>
      </c>
      <c r="D914" s="5" t="s">
        <v>36</v>
      </c>
      <c r="E914" s="5" t="s">
        <v>49</v>
      </c>
      <c r="F914" s="5" t="s">
        <v>65</v>
      </c>
      <c r="G914" s="5" t="s">
        <v>31</v>
      </c>
      <c r="H914" s="5" t="s">
        <v>23</v>
      </c>
      <c r="I914" s="5">
        <v>334</v>
      </c>
      <c r="J914" s="5">
        <v>3043</v>
      </c>
      <c r="K914" s="5">
        <v>3786.35</v>
      </c>
      <c r="L914" s="5">
        <v>1888</v>
      </c>
      <c r="M914" s="5">
        <v>102</v>
      </c>
      <c r="N914" s="5">
        <v>4</v>
      </c>
      <c r="O914" s="5" t="s">
        <v>32</v>
      </c>
      <c r="P914" s="5">
        <v>2321</v>
      </c>
      <c r="Q914" s="5" t="s">
        <v>33</v>
      </c>
      <c r="R914" s="2">
        <v>1264640.8999999999</v>
      </c>
      <c r="S914" s="2">
        <v>248278.9</v>
      </c>
      <c r="T914" s="1">
        <v>46021</v>
      </c>
      <c r="U914" s="5">
        <v>12</v>
      </c>
    </row>
    <row r="915" spans="1:21" x14ac:dyDescent="0.3">
      <c r="A915" s="5" t="s">
        <v>976</v>
      </c>
      <c r="B915" s="1">
        <v>45863</v>
      </c>
      <c r="C915" s="5" t="s">
        <v>27</v>
      </c>
      <c r="D915" s="5" t="s">
        <v>62</v>
      </c>
      <c r="E915" s="5" t="s">
        <v>49</v>
      </c>
      <c r="F915" s="5" t="s">
        <v>89</v>
      </c>
      <c r="G915" s="5" t="s">
        <v>38</v>
      </c>
      <c r="H915" s="5" t="s">
        <v>23</v>
      </c>
      <c r="I915" s="5">
        <v>290</v>
      </c>
      <c r="J915" s="5">
        <v>2121</v>
      </c>
      <c r="K915" s="5">
        <v>3111.52</v>
      </c>
      <c r="L915" s="5">
        <v>736</v>
      </c>
      <c r="M915" s="5">
        <v>227</v>
      </c>
      <c r="N915" s="5">
        <v>2</v>
      </c>
      <c r="O915" s="5" t="s">
        <v>32</v>
      </c>
      <c r="P915" s="5">
        <v>7816</v>
      </c>
      <c r="Q915" s="5" t="s">
        <v>33</v>
      </c>
      <c r="R915" s="2">
        <v>902340.8</v>
      </c>
      <c r="S915" s="2">
        <v>287250.8</v>
      </c>
      <c r="T915" s="1">
        <v>45863</v>
      </c>
      <c r="U915" s="5">
        <v>7</v>
      </c>
    </row>
    <row r="916" spans="1:21" x14ac:dyDescent="0.3">
      <c r="A916" s="5" t="s">
        <v>977</v>
      </c>
      <c r="B916" s="1">
        <v>45781</v>
      </c>
      <c r="C916" s="5" t="s">
        <v>18</v>
      </c>
      <c r="D916" s="5" t="s">
        <v>62</v>
      </c>
      <c r="E916" s="5" t="s">
        <v>20</v>
      </c>
      <c r="F916" s="5" t="s">
        <v>21</v>
      </c>
      <c r="G916" s="5" t="s">
        <v>22</v>
      </c>
      <c r="H916" s="5" t="s">
        <v>23</v>
      </c>
      <c r="I916" s="5">
        <v>109</v>
      </c>
      <c r="J916" s="5">
        <v>3821</v>
      </c>
      <c r="K916" s="5">
        <v>4756.13</v>
      </c>
      <c r="L916" s="5">
        <v>1849</v>
      </c>
      <c r="M916" s="5">
        <v>118</v>
      </c>
      <c r="N916" s="5">
        <v>6</v>
      </c>
      <c r="O916" s="5" t="s">
        <v>24</v>
      </c>
      <c r="P916" s="5">
        <v>6369</v>
      </c>
      <c r="Q916" s="5" t="s">
        <v>46</v>
      </c>
      <c r="R916" s="2">
        <v>518418.17</v>
      </c>
      <c r="S916" s="2">
        <v>101929.17</v>
      </c>
      <c r="T916" s="1">
        <v>45781</v>
      </c>
      <c r="U916" s="5">
        <v>5</v>
      </c>
    </row>
    <row r="917" spans="1:21" x14ac:dyDescent="0.3">
      <c r="A917" s="5" t="s">
        <v>978</v>
      </c>
      <c r="B917" s="1">
        <v>45835</v>
      </c>
      <c r="C917" s="5" t="s">
        <v>42</v>
      </c>
      <c r="D917" s="5" t="s">
        <v>28</v>
      </c>
      <c r="E917" s="5" t="s">
        <v>49</v>
      </c>
      <c r="F917" s="5" t="s">
        <v>89</v>
      </c>
      <c r="G917" s="5" t="s">
        <v>31</v>
      </c>
      <c r="H917" s="5" t="s">
        <v>51</v>
      </c>
      <c r="I917" s="5">
        <v>141</v>
      </c>
      <c r="J917" s="5">
        <v>4968</v>
      </c>
      <c r="K917" s="5">
        <v>5762.89</v>
      </c>
      <c r="L917" s="5">
        <v>835</v>
      </c>
      <c r="M917" s="5">
        <v>188</v>
      </c>
      <c r="N917" s="5">
        <v>1</v>
      </c>
      <c r="O917" s="5" t="s">
        <v>24</v>
      </c>
      <c r="P917" s="5">
        <v>6576</v>
      </c>
      <c r="Q917" s="5" t="s">
        <v>40</v>
      </c>
      <c r="R917" s="2">
        <v>812567.49</v>
      </c>
      <c r="S917" s="2">
        <v>112079.49</v>
      </c>
      <c r="T917" s="1">
        <v>45835</v>
      </c>
      <c r="U917" s="5">
        <v>6</v>
      </c>
    </row>
    <row r="918" spans="1:21" x14ac:dyDescent="0.3">
      <c r="A918" s="5" t="s">
        <v>979</v>
      </c>
      <c r="B918" s="1">
        <v>45667</v>
      </c>
      <c r="C918" s="5" t="s">
        <v>42</v>
      </c>
      <c r="D918" s="5" t="s">
        <v>53</v>
      </c>
      <c r="E918" s="5" t="s">
        <v>49</v>
      </c>
      <c r="F918" s="5" t="s">
        <v>75</v>
      </c>
      <c r="G918" s="5" t="s">
        <v>22</v>
      </c>
      <c r="H918" s="5" t="s">
        <v>23</v>
      </c>
      <c r="I918" s="5">
        <v>253</v>
      </c>
      <c r="J918" s="5">
        <v>4728</v>
      </c>
      <c r="K918" s="5">
        <v>5529.21</v>
      </c>
      <c r="L918" s="5">
        <v>1303</v>
      </c>
      <c r="M918" s="5">
        <v>280</v>
      </c>
      <c r="N918" s="5">
        <v>5</v>
      </c>
      <c r="O918" s="5" t="s">
        <v>32</v>
      </c>
      <c r="P918" s="5">
        <v>3118</v>
      </c>
      <c r="Q918" s="5" t="s">
        <v>33</v>
      </c>
      <c r="R918" s="2">
        <v>1398890.13</v>
      </c>
      <c r="S918" s="2">
        <v>202706.13</v>
      </c>
      <c r="T918" s="1">
        <v>45667</v>
      </c>
      <c r="U918" s="5">
        <v>1</v>
      </c>
    </row>
    <row r="919" spans="1:21" x14ac:dyDescent="0.3">
      <c r="A919" s="5" t="s">
        <v>980</v>
      </c>
      <c r="B919" s="1">
        <v>45941</v>
      </c>
      <c r="C919" s="5" t="s">
        <v>27</v>
      </c>
      <c r="D919" s="5" t="s">
        <v>53</v>
      </c>
      <c r="E919" s="5" t="s">
        <v>20</v>
      </c>
      <c r="F919" s="5" t="s">
        <v>45</v>
      </c>
      <c r="G919" s="5" t="s">
        <v>56</v>
      </c>
      <c r="H919" s="5" t="s">
        <v>23</v>
      </c>
      <c r="I919" s="5">
        <v>271</v>
      </c>
      <c r="J919" s="5">
        <v>1683</v>
      </c>
      <c r="K919" s="5">
        <v>2172.14</v>
      </c>
      <c r="L919" s="5">
        <v>1910</v>
      </c>
      <c r="M919" s="5">
        <v>243</v>
      </c>
      <c r="N919" s="5">
        <v>3</v>
      </c>
      <c r="O919" s="5" t="s">
        <v>32</v>
      </c>
      <c r="P919" s="5">
        <v>3319</v>
      </c>
      <c r="Q919" s="5" t="s">
        <v>33</v>
      </c>
      <c r="R919" s="2">
        <v>588649.93999999994</v>
      </c>
      <c r="S919" s="2">
        <v>132556.94</v>
      </c>
      <c r="T919" s="1">
        <v>45941</v>
      </c>
      <c r="U919" s="5">
        <v>10</v>
      </c>
    </row>
    <row r="920" spans="1:21" x14ac:dyDescent="0.3">
      <c r="A920" s="5" t="s">
        <v>981</v>
      </c>
      <c r="B920" s="1">
        <v>45730</v>
      </c>
      <c r="C920" s="5" t="s">
        <v>18</v>
      </c>
      <c r="D920" s="5" t="s">
        <v>53</v>
      </c>
      <c r="E920" s="5" t="s">
        <v>54</v>
      </c>
      <c r="F920" s="5" t="s">
        <v>81</v>
      </c>
      <c r="G920" s="5" t="s">
        <v>38</v>
      </c>
      <c r="H920" s="5" t="s">
        <v>39</v>
      </c>
      <c r="I920" s="5">
        <v>389</v>
      </c>
      <c r="J920" s="5">
        <v>600</v>
      </c>
      <c r="K920" s="5">
        <v>715.89</v>
      </c>
      <c r="L920" s="5">
        <v>88</v>
      </c>
      <c r="M920" s="5">
        <v>218</v>
      </c>
      <c r="N920" s="5">
        <v>10</v>
      </c>
      <c r="O920" s="5" t="s">
        <v>24</v>
      </c>
      <c r="P920" s="5">
        <v>5402</v>
      </c>
      <c r="Q920" s="5" t="s">
        <v>46</v>
      </c>
      <c r="R920" s="2">
        <v>278481.21000000002</v>
      </c>
      <c r="S920" s="2">
        <v>45081.21</v>
      </c>
      <c r="T920" s="1">
        <v>45730</v>
      </c>
      <c r="U920" s="5">
        <v>3</v>
      </c>
    </row>
    <row r="921" spans="1:21" x14ac:dyDescent="0.3">
      <c r="A921" s="5" t="s">
        <v>982</v>
      </c>
      <c r="B921" s="1">
        <v>45916</v>
      </c>
      <c r="C921" s="5" t="s">
        <v>42</v>
      </c>
      <c r="D921" s="5" t="s">
        <v>28</v>
      </c>
      <c r="E921" s="5" t="s">
        <v>29</v>
      </c>
      <c r="F921" s="5" t="s">
        <v>69</v>
      </c>
      <c r="G921" s="5" t="s">
        <v>31</v>
      </c>
      <c r="H921" s="5" t="s">
        <v>51</v>
      </c>
      <c r="I921" s="5">
        <v>394</v>
      </c>
      <c r="J921" s="5">
        <v>3408</v>
      </c>
      <c r="K921" s="5">
        <v>4630.72</v>
      </c>
      <c r="L921" s="5">
        <v>275</v>
      </c>
      <c r="M921" s="5">
        <v>137</v>
      </c>
      <c r="N921" s="5">
        <v>9</v>
      </c>
      <c r="O921" s="5" t="s">
        <v>24</v>
      </c>
      <c r="P921" s="5">
        <v>4700</v>
      </c>
      <c r="Q921" s="5" t="s">
        <v>25</v>
      </c>
      <c r="R921" s="2">
        <v>1824503.68</v>
      </c>
      <c r="S921" s="2">
        <v>481751.68</v>
      </c>
      <c r="T921" s="1">
        <v>45916</v>
      </c>
      <c r="U921" s="5">
        <v>9</v>
      </c>
    </row>
    <row r="922" spans="1:21" x14ac:dyDescent="0.3">
      <c r="A922" s="5" t="s">
        <v>983</v>
      </c>
      <c r="B922" s="1">
        <v>45991</v>
      </c>
      <c r="C922" s="5" t="s">
        <v>27</v>
      </c>
      <c r="D922" s="5" t="s">
        <v>62</v>
      </c>
      <c r="E922" s="5" t="s">
        <v>49</v>
      </c>
      <c r="F922" s="5" t="s">
        <v>89</v>
      </c>
      <c r="G922" s="5" t="s">
        <v>38</v>
      </c>
      <c r="H922" s="5" t="s">
        <v>39</v>
      </c>
      <c r="I922" s="5">
        <v>425</v>
      </c>
      <c r="J922" s="5">
        <v>3798</v>
      </c>
      <c r="K922" s="5">
        <v>5626.22</v>
      </c>
      <c r="L922" s="5">
        <v>1814</v>
      </c>
      <c r="M922" s="5">
        <v>125</v>
      </c>
      <c r="N922" s="5">
        <v>8</v>
      </c>
      <c r="O922" s="5" t="s">
        <v>24</v>
      </c>
      <c r="P922" s="5">
        <v>5044</v>
      </c>
      <c r="Q922" s="5" t="s">
        <v>25</v>
      </c>
      <c r="R922" s="2">
        <v>2391143.5</v>
      </c>
      <c r="S922" s="2">
        <v>776993.5</v>
      </c>
      <c r="T922" s="1">
        <v>45991</v>
      </c>
      <c r="U922" s="5">
        <v>11</v>
      </c>
    </row>
    <row r="923" spans="1:21" x14ac:dyDescent="0.3">
      <c r="A923" s="5" t="s">
        <v>984</v>
      </c>
      <c r="B923" s="1">
        <v>45955</v>
      </c>
      <c r="C923" s="5" t="s">
        <v>42</v>
      </c>
      <c r="D923" s="5" t="s">
        <v>53</v>
      </c>
      <c r="E923" s="5" t="s">
        <v>29</v>
      </c>
      <c r="F923" s="5" t="s">
        <v>58</v>
      </c>
      <c r="G923" s="5" t="s">
        <v>22</v>
      </c>
      <c r="H923" s="5" t="s">
        <v>23</v>
      </c>
      <c r="I923" s="5">
        <v>25</v>
      </c>
      <c r="J923" s="5">
        <v>2783</v>
      </c>
      <c r="K923" s="5">
        <v>3257.43</v>
      </c>
      <c r="L923" s="5">
        <v>1831</v>
      </c>
      <c r="M923" s="5">
        <v>297</v>
      </c>
      <c r="N923" s="5">
        <v>1</v>
      </c>
      <c r="O923" s="5" t="s">
        <v>32</v>
      </c>
      <c r="P923" s="5">
        <v>7213</v>
      </c>
      <c r="Q923" s="5" t="s">
        <v>33</v>
      </c>
      <c r="R923" s="2">
        <v>81435.75</v>
      </c>
      <c r="S923" s="2">
        <v>11860.75</v>
      </c>
      <c r="T923" s="1">
        <v>45955</v>
      </c>
      <c r="U923" s="5">
        <v>10</v>
      </c>
    </row>
    <row r="924" spans="1:21" x14ac:dyDescent="0.3">
      <c r="A924" s="5" t="s">
        <v>985</v>
      </c>
      <c r="B924" s="1">
        <v>45923</v>
      </c>
      <c r="C924" s="5" t="s">
        <v>18</v>
      </c>
      <c r="D924" s="5" t="s">
        <v>19</v>
      </c>
      <c r="E924" s="5" t="s">
        <v>49</v>
      </c>
      <c r="F924" s="5" t="s">
        <v>75</v>
      </c>
      <c r="G924" s="5" t="s">
        <v>56</v>
      </c>
      <c r="H924" s="5" t="s">
        <v>39</v>
      </c>
      <c r="I924" s="5">
        <v>75</v>
      </c>
      <c r="J924" s="5">
        <v>317</v>
      </c>
      <c r="K924" s="5">
        <v>457.45</v>
      </c>
      <c r="L924" s="5">
        <v>364</v>
      </c>
      <c r="M924" s="5">
        <v>250</v>
      </c>
      <c r="N924" s="5">
        <v>2</v>
      </c>
      <c r="O924" s="5" t="s">
        <v>32</v>
      </c>
      <c r="P924" s="5">
        <v>1956</v>
      </c>
      <c r="Q924" s="5" t="s">
        <v>33</v>
      </c>
      <c r="R924" s="2">
        <v>34308.75</v>
      </c>
      <c r="S924" s="2">
        <v>10533.75</v>
      </c>
      <c r="T924" s="1">
        <v>45923</v>
      </c>
      <c r="U924" s="5">
        <v>9</v>
      </c>
    </row>
    <row r="925" spans="1:21" x14ac:dyDescent="0.3">
      <c r="A925" s="5" t="s">
        <v>986</v>
      </c>
      <c r="B925" s="1">
        <v>45760</v>
      </c>
      <c r="C925" s="5" t="s">
        <v>18</v>
      </c>
      <c r="D925" s="5" t="s">
        <v>28</v>
      </c>
      <c r="E925" s="5" t="s">
        <v>29</v>
      </c>
      <c r="F925" s="5" t="s">
        <v>73</v>
      </c>
      <c r="G925" s="5" t="s">
        <v>56</v>
      </c>
      <c r="H925" s="5" t="s">
        <v>51</v>
      </c>
      <c r="I925" s="5">
        <v>60</v>
      </c>
      <c r="J925" s="5">
        <v>3457</v>
      </c>
      <c r="K925" s="5">
        <v>4803.41</v>
      </c>
      <c r="L925" s="5">
        <v>1305</v>
      </c>
      <c r="M925" s="5">
        <v>300</v>
      </c>
      <c r="N925" s="5">
        <v>8</v>
      </c>
      <c r="O925" s="5" t="s">
        <v>24</v>
      </c>
      <c r="P925" s="5">
        <v>3683</v>
      </c>
      <c r="Q925" s="5" t="s">
        <v>46</v>
      </c>
      <c r="R925" s="2">
        <v>288204.59999999998</v>
      </c>
      <c r="S925" s="2">
        <v>80784.600000000006</v>
      </c>
      <c r="T925" s="1">
        <v>45760</v>
      </c>
      <c r="U925" s="5">
        <v>4</v>
      </c>
    </row>
    <row r="926" spans="1:21" x14ac:dyDescent="0.3">
      <c r="A926" s="5" t="s">
        <v>987</v>
      </c>
      <c r="B926" s="1">
        <v>45821</v>
      </c>
      <c r="C926" s="5" t="s">
        <v>18</v>
      </c>
      <c r="D926" s="5" t="s">
        <v>62</v>
      </c>
      <c r="E926" s="5" t="s">
        <v>20</v>
      </c>
      <c r="F926" s="5" t="s">
        <v>45</v>
      </c>
      <c r="G926" s="5" t="s">
        <v>38</v>
      </c>
      <c r="H926" s="5" t="s">
        <v>23</v>
      </c>
      <c r="I926" s="5">
        <v>67</v>
      </c>
      <c r="J926" s="5">
        <v>245</v>
      </c>
      <c r="K926" s="5">
        <v>330.27</v>
      </c>
      <c r="L926" s="5">
        <v>526</v>
      </c>
      <c r="M926" s="5">
        <v>96</v>
      </c>
      <c r="N926" s="5">
        <v>10</v>
      </c>
      <c r="O926" s="5" t="s">
        <v>24</v>
      </c>
      <c r="P926" s="5">
        <v>2122</v>
      </c>
      <c r="Q926" s="5" t="s">
        <v>33</v>
      </c>
      <c r="R926" s="2">
        <v>22128.09</v>
      </c>
      <c r="S926" s="2">
        <v>5713.09</v>
      </c>
      <c r="T926" s="1">
        <v>45821</v>
      </c>
      <c r="U926" s="5">
        <v>6</v>
      </c>
    </row>
    <row r="927" spans="1:21" x14ac:dyDescent="0.3">
      <c r="A927" s="5" t="s">
        <v>988</v>
      </c>
      <c r="B927" s="1">
        <v>45774</v>
      </c>
      <c r="C927" s="5" t="s">
        <v>27</v>
      </c>
      <c r="D927" s="5" t="s">
        <v>36</v>
      </c>
      <c r="E927" s="5" t="s">
        <v>49</v>
      </c>
      <c r="F927" s="5" t="s">
        <v>89</v>
      </c>
      <c r="G927" s="5" t="s">
        <v>22</v>
      </c>
      <c r="H927" s="5" t="s">
        <v>23</v>
      </c>
      <c r="I927" s="5">
        <v>89</v>
      </c>
      <c r="J927" s="5">
        <v>1139</v>
      </c>
      <c r="K927" s="5">
        <v>1459.16</v>
      </c>
      <c r="L927" s="5">
        <v>1693</v>
      </c>
      <c r="M927" s="5">
        <v>90</v>
      </c>
      <c r="N927" s="5">
        <v>10</v>
      </c>
      <c r="O927" s="5" t="s">
        <v>24</v>
      </c>
      <c r="P927" s="5">
        <v>7305</v>
      </c>
      <c r="Q927" s="5" t="s">
        <v>40</v>
      </c>
      <c r="R927" s="2">
        <v>129865.24</v>
      </c>
      <c r="S927" s="2">
        <v>28494.240000000002</v>
      </c>
      <c r="T927" s="1">
        <v>45774</v>
      </c>
      <c r="U927" s="5">
        <v>4</v>
      </c>
    </row>
    <row r="928" spans="1:21" x14ac:dyDescent="0.3">
      <c r="A928" s="5" t="s">
        <v>989</v>
      </c>
      <c r="B928" s="1">
        <v>45670</v>
      </c>
      <c r="C928" s="5" t="s">
        <v>42</v>
      </c>
      <c r="D928" s="5" t="s">
        <v>19</v>
      </c>
      <c r="E928" s="5" t="s">
        <v>54</v>
      </c>
      <c r="F928" s="5" t="s">
        <v>87</v>
      </c>
      <c r="G928" s="5" t="s">
        <v>56</v>
      </c>
      <c r="H928" s="5" t="s">
        <v>39</v>
      </c>
      <c r="I928" s="5">
        <v>324</v>
      </c>
      <c r="J928" s="5">
        <v>397</v>
      </c>
      <c r="K928" s="5">
        <v>486.51</v>
      </c>
      <c r="L928" s="5">
        <v>1035</v>
      </c>
      <c r="M928" s="5">
        <v>277</v>
      </c>
      <c r="N928" s="5">
        <v>9</v>
      </c>
      <c r="O928" s="5" t="s">
        <v>24</v>
      </c>
      <c r="P928" s="5">
        <v>3009</v>
      </c>
      <c r="Q928" s="5" t="s">
        <v>25</v>
      </c>
      <c r="R928" s="2">
        <v>157629.24</v>
      </c>
      <c r="S928" s="2">
        <v>29001.24</v>
      </c>
      <c r="T928" s="1">
        <v>45670</v>
      </c>
      <c r="U928" s="5">
        <v>1</v>
      </c>
    </row>
    <row r="929" spans="1:21" x14ac:dyDescent="0.3">
      <c r="A929" s="5" t="s">
        <v>990</v>
      </c>
      <c r="B929" s="1">
        <v>45840</v>
      </c>
      <c r="C929" s="5" t="s">
        <v>35</v>
      </c>
      <c r="D929" s="5" t="s">
        <v>28</v>
      </c>
      <c r="E929" s="5" t="s">
        <v>29</v>
      </c>
      <c r="F929" s="5" t="s">
        <v>58</v>
      </c>
      <c r="G929" s="5" t="s">
        <v>22</v>
      </c>
      <c r="H929" s="5" t="s">
        <v>23</v>
      </c>
      <c r="I929" s="5">
        <v>469</v>
      </c>
      <c r="J929" s="5">
        <v>3514</v>
      </c>
      <c r="K929" s="5">
        <v>4533.4399999999996</v>
      </c>
      <c r="L929" s="5">
        <v>1512</v>
      </c>
      <c r="M929" s="5">
        <v>266</v>
      </c>
      <c r="N929" s="5">
        <v>2</v>
      </c>
      <c r="O929" s="5" t="s">
        <v>32</v>
      </c>
      <c r="P929" s="5">
        <v>5093</v>
      </c>
      <c r="Q929" s="5" t="s">
        <v>33</v>
      </c>
      <c r="R929" s="2">
        <v>2126183.36</v>
      </c>
      <c r="S929" s="2">
        <v>478117.36</v>
      </c>
      <c r="T929" s="1">
        <v>45840</v>
      </c>
      <c r="U929" s="5">
        <v>7</v>
      </c>
    </row>
    <row r="930" spans="1:21" x14ac:dyDescent="0.3">
      <c r="A930" s="5" t="s">
        <v>991</v>
      </c>
      <c r="B930" s="1">
        <v>45859</v>
      </c>
      <c r="C930" s="5" t="s">
        <v>27</v>
      </c>
      <c r="D930" s="5" t="s">
        <v>19</v>
      </c>
      <c r="E930" s="5" t="s">
        <v>54</v>
      </c>
      <c r="F930" s="5" t="s">
        <v>78</v>
      </c>
      <c r="G930" s="5" t="s">
        <v>56</v>
      </c>
      <c r="H930" s="5" t="s">
        <v>51</v>
      </c>
      <c r="I930" s="5">
        <v>342</v>
      </c>
      <c r="J930" s="5">
        <v>3422</v>
      </c>
      <c r="K930" s="5">
        <v>4207.9799999999996</v>
      </c>
      <c r="L930" s="5">
        <v>1212</v>
      </c>
      <c r="M930" s="5">
        <v>289</v>
      </c>
      <c r="N930" s="5">
        <v>9</v>
      </c>
      <c r="O930" s="5" t="s">
        <v>24</v>
      </c>
      <c r="P930" s="5">
        <v>7919</v>
      </c>
      <c r="Q930" s="5" t="s">
        <v>25</v>
      </c>
      <c r="R930" s="2">
        <v>1439129.16</v>
      </c>
      <c r="S930" s="2">
        <v>268805.15999999997</v>
      </c>
      <c r="T930" s="1">
        <v>45859</v>
      </c>
      <c r="U930" s="5">
        <v>7</v>
      </c>
    </row>
    <row r="931" spans="1:21" x14ac:dyDescent="0.3">
      <c r="A931" s="5" t="s">
        <v>992</v>
      </c>
      <c r="B931" s="1">
        <v>45758</v>
      </c>
      <c r="C931" s="5" t="s">
        <v>42</v>
      </c>
      <c r="D931" s="5" t="s">
        <v>19</v>
      </c>
      <c r="E931" s="5" t="s">
        <v>49</v>
      </c>
      <c r="F931" s="5" t="s">
        <v>89</v>
      </c>
      <c r="G931" s="5" t="s">
        <v>56</v>
      </c>
      <c r="H931" s="5" t="s">
        <v>51</v>
      </c>
      <c r="I931" s="5">
        <v>103</v>
      </c>
      <c r="J931" s="5">
        <v>910</v>
      </c>
      <c r="K931" s="5">
        <v>1176.52</v>
      </c>
      <c r="L931" s="5">
        <v>1920</v>
      </c>
      <c r="M931" s="5">
        <v>144</v>
      </c>
      <c r="N931" s="5">
        <v>6</v>
      </c>
      <c r="O931" s="5" t="s">
        <v>24</v>
      </c>
      <c r="P931" s="5">
        <v>7393</v>
      </c>
      <c r="Q931" s="5" t="s">
        <v>33</v>
      </c>
      <c r="R931" s="2">
        <v>121181.56</v>
      </c>
      <c r="S931" s="2">
        <v>27451.56</v>
      </c>
      <c r="T931" s="1">
        <v>45758</v>
      </c>
      <c r="U931" s="5">
        <v>4</v>
      </c>
    </row>
    <row r="932" spans="1:21" x14ac:dyDescent="0.3">
      <c r="A932" s="5" t="s">
        <v>993</v>
      </c>
      <c r="B932" s="1">
        <v>45783</v>
      </c>
      <c r="C932" s="5" t="s">
        <v>42</v>
      </c>
      <c r="D932" s="5" t="s">
        <v>62</v>
      </c>
      <c r="E932" s="5" t="s">
        <v>29</v>
      </c>
      <c r="F932" s="5" t="s">
        <v>43</v>
      </c>
      <c r="G932" s="5" t="s">
        <v>56</v>
      </c>
      <c r="H932" s="5" t="s">
        <v>51</v>
      </c>
      <c r="I932" s="5">
        <v>353</v>
      </c>
      <c r="J932" s="5">
        <v>2431</v>
      </c>
      <c r="K932" s="5">
        <v>3459.04</v>
      </c>
      <c r="L932" s="5">
        <v>213</v>
      </c>
      <c r="M932" s="5">
        <v>196</v>
      </c>
      <c r="N932" s="5">
        <v>6</v>
      </c>
      <c r="O932" s="5" t="s">
        <v>24</v>
      </c>
      <c r="P932" s="5">
        <v>5679</v>
      </c>
      <c r="Q932" s="5" t="s">
        <v>46</v>
      </c>
      <c r="R932" s="2">
        <v>1221041.1200000001</v>
      </c>
      <c r="S932" s="2">
        <v>362898.12</v>
      </c>
      <c r="T932" s="1">
        <v>45783</v>
      </c>
      <c r="U932" s="5">
        <v>5</v>
      </c>
    </row>
    <row r="933" spans="1:21" x14ac:dyDescent="0.3">
      <c r="A933" s="5" t="s">
        <v>994</v>
      </c>
      <c r="B933" s="1">
        <v>45831</v>
      </c>
      <c r="C933" s="5" t="s">
        <v>42</v>
      </c>
      <c r="D933" s="5" t="s">
        <v>53</v>
      </c>
      <c r="E933" s="5" t="s">
        <v>54</v>
      </c>
      <c r="F933" s="5" t="s">
        <v>63</v>
      </c>
      <c r="G933" s="5" t="s">
        <v>56</v>
      </c>
      <c r="H933" s="5" t="s">
        <v>39</v>
      </c>
      <c r="I933" s="5">
        <v>171</v>
      </c>
      <c r="J933" s="5">
        <v>4038</v>
      </c>
      <c r="K933" s="5">
        <v>4874.13</v>
      </c>
      <c r="L933" s="5">
        <v>592</v>
      </c>
      <c r="M933" s="5">
        <v>167</v>
      </c>
      <c r="N933" s="5">
        <v>6</v>
      </c>
      <c r="O933" s="5" t="s">
        <v>24</v>
      </c>
      <c r="P933" s="5">
        <v>6044</v>
      </c>
      <c r="Q933" s="5" t="s">
        <v>25</v>
      </c>
      <c r="R933" s="2">
        <v>833476.23</v>
      </c>
      <c r="S933" s="2">
        <v>142978.23000000001</v>
      </c>
      <c r="T933" s="1">
        <v>45831</v>
      </c>
      <c r="U933" s="5">
        <v>6</v>
      </c>
    </row>
    <row r="934" spans="1:21" x14ac:dyDescent="0.3">
      <c r="A934" s="5" t="s">
        <v>995</v>
      </c>
      <c r="B934" s="1">
        <v>45997</v>
      </c>
      <c r="C934" s="5" t="s">
        <v>35</v>
      </c>
      <c r="D934" s="5" t="s">
        <v>36</v>
      </c>
      <c r="E934" s="5" t="s">
        <v>29</v>
      </c>
      <c r="F934" s="5" t="s">
        <v>69</v>
      </c>
      <c r="G934" s="5" t="s">
        <v>22</v>
      </c>
      <c r="H934" s="5" t="s">
        <v>51</v>
      </c>
      <c r="I934" s="5">
        <v>219</v>
      </c>
      <c r="J934" s="5">
        <v>1110</v>
      </c>
      <c r="K934" s="5">
        <v>1564.23</v>
      </c>
      <c r="L934" s="5">
        <v>1041</v>
      </c>
      <c r="M934" s="5">
        <v>273</v>
      </c>
      <c r="N934" s="5">
        <v>10</v>
      </c>
      <c r="O934" s="5" t="s">
        <v>24</v>
      </c>
      <c r="P934" s="5">
        <v>2527</v>
      </c>
      <c r="Q934" s="5" t="s">
        <v>33</v>
      </c>
      <c r="R934" s="2">
        <v>342566.37</v>
      </c>
      <c r="S934" s="2">
        <v>99476.37</v>
      </c>
      <c r="T934" s="1">
        <v>45997</v>
      </c>
      <c r="U934" s="5">
        <v>12</v>
      </c>
    </row>
    <row r="935" spans="1:21" x14ac:dyDescent="0.3">
      <c r="A935" s="5" t="s">
        <v>996</v>
      </c>
      <c r="B935" s="1">
        <v>45842</v>
      </c>
      <c r="C935" s="5" t="s">
        <v>35</v>
      </c>
      <c r="D935" s="5" t="s">
        <v>36</v>
      </c>
      <c r="E935" s="5" t="s">
        <v>54</v>
      </c>
      <c r="F935" s="5" t="s">
        <v>78</v>
      </c>
      <c r="G935" s="5" t="s">
        <v>22</v>
      </c>
      <c r="H935" s="5" t="s">
        <v>23</v>
      </c>
      <c r="I935" s="5">
        <v>163</v>
      </c>
      <c r="J935" s="5">
        <v>2634</v>
      </c>
      <c r="K935" s="5">
        <v>3086</v>
      </c>
      <c r="L935" s="5">
        <v>368</v>
      </c>
      <c r="M935" s="5">
        <v>263</v>
      </c>
      <c r="N935" s="5">
        <v>4</v>
      </c>
      <c r="O935" s="5" t="s">
        <v>24</v>
      </c>
      <c r="P935" s="5">
        <v>2866</v>
      </c>
      <c r="Q935" s="5" t="s">
        <v>40</v>
      </c>
      <c r="R935" s="2">
        <v>503018</v>
      </c>
      <c r="S935" s="2">
        <v>73676</v>
      </c>
      <c r="T935" s="1">
        <v>45842</v>
      </c>
      <c r="U935" s="5">
        <v>7</v>
      </c>
    </row>
    <row r="936" spans="1:21" x14ac:dyDescent="0.3">
      <c r="A936" s="5" t="s">
        <v>997</v>
      </c>
      <c r="B936" s="1">
        <v>46002</v>
      </c>
      <c r="C936" s="5" t="s">
        <v>35</v>
      </c>
      <c r="D936" s="5" t="s">
        <v>28</v>
      </c>
      <c r="E936" s="5" t="s">
        <v>49</v>
      </c>
      <c r="F936" s="5" t="s">
        <v>89</v>
      </c>
      <c r="G936" s="5" t="s">
        <v>31</v>
      </c>
      <c r="H936" s="5" t="s">
        <v>51</v>
      </c>
      <c r="I936" s="5">
        <v>355</v>
      </c>
      <c r="J936" s="5">
        <v>1328</v>
      </c>
      <c r="K936" s="5">
        <v>1615.48</v>
      </c>
      <c r="L936" s="5">
        <v>1444</v>
      </c>
      <c r="M936" s="5">
        <v>122</v>
      </c>
      <c r="N936" s="5">
        <v>8</v>
      </c>
      <c r="O936" s="5" t="s">
        <v>24</v>
      </c>
      <c r="P936" s="5">
        <v>828</v>
      </c>
      <c r="Q936" s="5" t="s">
        <v>33</v>
      </c>
      <c r="R936" s="2">
        <v>573495.4</v>
      </c>
      <c r="S936" s="2">
        <v>102055.4</v>
      </c>
      <c r="T936" s="1">
        <v>46002</v>
      </c>
      <c r="U936" s="5">
        <v>12</v>
      </c>
    </row>
    <row r="937" spans="1:21" x14ac:dyDescent="0.3">
      <c r="A937" s="5" t="s">
        <v>998</v>
      </c>
      <c r="B937" s="1">
        <v>45695</v>
      </c>
      <c r="C937" s="5" t="s">
        <v>18</v>
      </c>
      <c r="D937" s="5" t="s">
        <v>36</v>
      </c>
      <c r="E937" s="5" t="s">
        <v>49</v>
      </c>
      <c r="F937" s="5" t="s">
        <v>94</v>
      </c>
      <c r="G937" s="5" t="s">
        <v>31</v>
      </c>
      <c r="H937" s="5" t="s">
        <v>39</v>
      </c>
      <c r="I937" s="5">
        <v>249</v>
      </c>
      <c r="J937" s="5">
        <v>2108</v>
      </c>
      <c r="K937" s="5">
        <v>2897.95</v>
      </c>
      <c r="L937" s="5">
        <v>953</v>
      </c>
      <c r="M937" s="5">
        <v>200</v>
      </c>
      <c r="N937" s="5">
        <v>8</v>
      </c>
      <c r="O937" s="5" t="s">
        <v>24</v>
      </c>
      <c r="P937" s="5">
        <v>1789</v>
      </c>
      <c r="Q937" s="5" t="s">
        <v>40</v>
      </c>
      <c r="R937" s="2">
        <v>721589.55</v>
      </c>
      <c r="S937" s="2">
        <v>196697.55</v>
      </c>
      <c r="T937" s="1">
        <v>45695</v>
      </c>
      <c r="U937" s="5">
        <v>2</v>
      </c>
    </row>
    <row r="938" spans="1:21" x14ac:dyDescent="0.3">
      <c r="A938" s="5" t="s">
        <v>999</v>
      </c>
      <c r="B938" s="1">
        <v>45903</v>
      </c>
      <c r="C938" s="5" t="s">
        <v>18</v>
      </c>
      <c r="D938" s="5" t="s">
        <v>28</v>
      </c>
      <c r="E938" s="5" t="s">
        <v>29</v>
      </c>
      <c r="F938" s="5" t="s">
        <v>43</v>
      </c>
      <c r="G938" s="5" t="s">
        <v>38</v>
      </c>
      <c r="H938" s="5" t="s">
        <v>51</v>
      </c>
      <c r="I938" s="5">
        <v>142</v>
      </c>
      <c r="J938" s="5">
        <v>4683</v>
      </c>
      <c r="K938" s="5">
        <v>5642.79</v>
      </c>
      <c r="L938" s="5">
        <v>1210</v>
      </c>
      <c r="M938" s="5">
        <v>95</v>
      </c>
      <c r="N938" s="5">
        <v>10</v>
      </c>
      <c r="O938" s="5" t="s">
        <v>24</v>
      </c>
      <c r="P938" s="5">
        <v>4368</v>
      </c>
      <c r="Q938" s="5" t="s">
        <v>46</v>
      </c>
      <c r="R938" s="2">
        <v>801276.18</v>
      </c>
      <c r="S938" s="2">
        <v>136290.18</v>
      </c>
      <c r="T938" s="1">
        <v>45903</v>
      </c>
      <c r="U938" s="5">
        <v>9</v>
      </c>
    </row>
    <row r="939" spans="1:21" x14ac:dyDescent="0.3">
      <c r="A939" s="5" t="s">
        <v>1000</v>
      </c>
      <c r="B939" s="1">
        <v>45718</v>
      </c>
      <c r="C939" s="5" t="s">
        <v>42</v>
      </c>
      <c r="D939" s="5" t="s">
        <v>36</v>
      </c>
      <c r="E939" s="5" t="s">
        <v>20</v>
      </c>
      <c r="F939" s="5" t="s">
        <v>60</v>
      </c>
      <c r="G939" s="5" t="s">
        <v>38</v>
      </c>
      <c r="H939" s="5" t="s">
        <v>51</v>
      </c>
      <c r="I939" s="5">
        <v>388</v>
      </c>
      <c r="J939" s="5">
        <v>3797</v>
      </c>
      <c r="K939" s="5">
        <v>5119.9799999999996</v>
      </c>
      <c r="L939" s="5">
        <v>1630</v>
      </c>
      <c r="M939" s="5">
        <v>142</v>
      </c>
      <c r="N939" s="5">
        <v>2</v>
      </c>
      <c r="O939" s="5" t="s">
        <v>24</v>
      </c>
      <c r="P939" s="5">
        <v>6045</v>
      </c>
      <c r="Q939" s="5" t="s">
        <v>33</v>
      </c>
      <c r="R939" s="2">
        <v>1986552.24</v>
      </c>
      <c r="S939" s="2">
        <v>513316.24</v>
      </c>
      <c r="T939" s="1">
        <v>45718</v>
      </c>
      <c r="U939" s="5">
        <v>3</v>
      </c>
    </row>
    <row r="940" spans="1:21" x14ac:dyDescent="0.3">
      <c r="A940" s="5" t="s">
        <v>1001</v>
      </c>
      <c r="B940" s="1">
        <v>45991</v>
      </c>
      <c r="C940" s="5" t="s">
        <v>35</v>
      </c>
      <c r="D940" s="5" t="s">
        <v>53</v>
      </c>
      <c r="E940" s="5" t="s">
        <v>29</v>
      </c>
      <c r="F940" s="5" t="s">
        <v>58</v>
      </c>
      <c r="G940" s="5" t="s">
        <v>31</v>
      </c>
      <c r="H940" s="5" t="s">
        <v>39</v>
      </c>
      <c r="I940" s="5">
        <v>464</v>
      </c>
      <c r="J940" s="5">
        <v>365</v>
      </c>
      <c r="K940" s="5">
        <v>535.79999999999995</v>
      </c>
      <c r="L940" s="5">
        <v>861</v>
      </c>
      <c r="M940" s="5">
        <v>212</v>
      </c>
      <c r="N940" s="5">
        <v>8</v>
      </c>
      <c r="O940" s="5" t="s">
        <v>24</v>
      </c>
      <c r="P940" s="5">
        <v>4577</v>
      </c>
      <c r="Q940" s="5" t="s">
        <v>25</v>
      </c>
      <c r="R940" s="2">
        <v>248611.20000000001</v>
      </c>
      <c r="S940" s="2">
        <v>79251.199999999997</v>
      </c>
      <c r="T940" s="1">
        <v>45991</v>
      </c>
      <c r="U940" s="5">
        <v>11</v>
      </c>
    </row>
    <row r="941" spans="1:21" x14ac:dyDescent="0.3">
      <c r="A941" s="5" t="s">
        <v>1002</v>
      </c>
      <c r="B941" s="1">
        <v>45695</v>
      </c>
      <c r="C941" s="5" t="s">
        <v>42</v>
      </c>
      <c r="D941" s="5" t="s">
        <v>62</v>
      </c>
      <c r="E941" s="5" t="s">
        <v>29</v>
      </c>
      <c r="F941" s="5" t="s">
        <v>69</v>
      </c>
      <c r="G941" s="5" t="s">
        <v>56</v>
      </c>
      <c r="H941" s="5" t="s">
        <v>51</v>
      </c>
      <c r="I941" s="5">
        <v>425</v>
      </c>
      <c r="J941" s="5">
        <v>1568</v>
      </c>
      <c r="K941" s="5">
        <v>2283.2199999999998</v>
      </c>
      <c r="L941" s="5">
        <v>282</v>
      </c>
      <c r="M941" s="5">
        <v>135</v>
      </c>
      <c r="N941" s="5">
        <v>7</v>
      </c>
      <c r="O941" s="5" t="s">
        <v>24</v>
      </c>
      <c r="P941" s="5">
        <v>5441</v>
      </c>
      <c r="Q941" s="5" t="s">
        <v>33</v>
      </c>
      <c r="R941" s="2">
        <v>970368.5</v>
      </c>
      <c r="S941" s="2">
        <v>303968.5</v>
      </c>
      <c r="T941" s="1">
        <v>45695</v>
      </c>
      <c r="U941" s="5">
        <v>2</v>
      </c>
    </row>
    <row r="942" spans="1:21" x14ac:dyDescent="0.3">
      <c r="A942" s="5" t="s">
        <v>1003</v>
      </c>
      <c r="B942" s="1">
        <v>45999</v>
      </c>
      <c r="C942" s="5" t="s">
        <v>35</v>
      </c>
      <c r="D942" s="5" t="s">
        <v>28</v>
      </c>
      <c r="E942" s="5" t="s">
        <v>20</v>
      </c>
      <c r="F942" s="5" t="s">
        <v>60</v>
      </c>
      <c r="G942" s="5" t="s">
        <v>22</v>
      </c>
      <c r="H942" s="5" t="s">
        <v>23</v>
      </c>
      <c r="I942" s="5">
        <v>132</v>
      </c>
      <c r="J942" s="5">
        <v>3526</v>
      </c>
      <c r="K942" s="5">
        <v>4957.03</v>
      </c>
      <c r="L942" s="5">
        <v>1120</v>
      </c>
      <c r="M942" s="5">
        <v>292</v>
      </c>
      <c r="N942" s="5">
        <v>1</v>
      </c>
      <c r="O942" s="5" t="s">
        <v>24</v>
      </c>
      <c r="P942" s="5">
        <v>5925</v>
      </c>
      <c r="Q942" s="5" t="s">
        <v>40</v>
      </c>
      <c r="R942" s="2">
        <v>654327.96</v>
      </c>
      <c r="S942" s="2">
        <v>188895.96</v>
      </c>
      <c r="T942" s="1">
        <v>45999</v>
      </c>
      <c r="U942" s="5">
        <v>12</v>
      </c>
    </row>
    <row r="943" spans="1:21" x14ac:dyDescent="0.3">
      <c r="A943" s="5" t="s">
        <v>1004</v>
      </c>
      <c r="B943" s="1">
        <v>45783</v>
      </c>
      <c r="C943" s="5" t="s">
        <v>27</v>
      </c>
      <c r="D943" s="5" t="s">
        <v>19</v>
      </c>
      <c r="E943" s="5" t="s">
        <v>54</v>
      </c>
      <c r="F943" s="5" t="s">
        <v>55</v>
      </c>
      <c r="G943" s="5" t="s">
        <v>22</v>
      </c>
      <c r="H943" s="5" t="s">
        <v>23</v>
      </c>
      <c r="I943" s="5">
        <v>463</v>
      </c>
      <c r="J943" s="5">
        <v>3512</v>
      </c>
      <c r="K943" s="5">
        <v>4552.75</v>
      </c>
      <c r="L943" s="5">
        <v>1330</v>
      </c>
      <c r="M943" s="5">
        <v>244</v>
      </c>
      <c r="N943" s="5">
        <v>4</v>
      </c>
      <c r="O943" s="5" t="s">
        <v>32</v>
      </c>
      <c r="P943" s="5">
        <v>4802</v>
      </c>
      <c r="Q943" s="5" t="s">
        <v>33</v>
      </c>
      <c r="R943" s="2">
        <v>2107923.25</v>
      </c>
      <c r="S943" s="2">
        <v>481867.25</v>
      </c>
      <c r="T943" s="1">
        <v>45783</v>
      </c>
      <c r="U943" s="5">
        <v>5</v>
      </c>
    </row>
    <row r="944" spans="1:21" x14ac:dyDescent="0.3">
      <c r="A944" s="5" t="s">
        <v>1005</v>
      </c>
      <c r="B944" s="1">
        <v>45661</v>
      </c>
      <c r="C944" s="5" t="s">
        <v>27</v>
      </c>
      <c r="D944" s="5" t="s">
        <v>53</v>
      </c>
      <c r="E944" s="5" t="s">
        <v>20</v>
      </c>
      <c r="F944" s="5" t="s">
        <v>60</v>
      </c>
      <c r="G944" s="5" t="s">
        <v>56</v>
      </c>
      <c r="H944" s="5" t="s">
        <v>51</v>
      </c>
      <c r="I944" s="5">
        <v>475</v>
      </c>
      <c r="J944" s="5">
        <v>2137</v>
      </c>
      <c r="K944" s="5">
        <v>2871.62</v>
      </c>
      <c r="L944" s="5">
        <v>1204</v>
      </c>
      <c r="M944" s="5">
        <v>270</v>
      </c>
      <c r="N944" s="5">
        <v>5</v>
      </c>
      <c r="O944" s="5" t="s">
        <v>32</v>
      </c>
      <c r="P944" s="5">
        <v>3241</v>
      </c>
      <c r="Q944" s="5" t="s">
        <v>33</v>
      </c>
      <c r="R944" s="2">
        <v>1364019.5</v>
      </c>
      <c r="S944" s="2">
        <v>348944.5</v>
      </c>
      <c r="T944" s="1">
        <v>45661</v>
      </c>
      <c r="U944" s="5">
        <v>1</v>
      </c>
    </row>
    <row r="945" spans="1:21" x14ac:dyDescent="0.3">
      <c r="A945" s="5" t="s">
        <v>1006</v>
      </c>
      <c r="B945" s="1">
        <v>45725</v>
      </c>
      <c r="C945" s="5" t="s">
        <v>35</v>
      </c>
      <c r="D945" s="5" t="s">
        <v>36</v>
      </c>
      <c r="E945" s="5" t="s">
        <v>49</v>
      </c>
      <c r="F945" s="5" t="s">
        <v>75</v>
      </c>
      <c r="G945" s="5" t="s">
        <v>22</v>
      </c>
      <c r="H945" s="5" t="s">
        <v>39</v>
      </c>
      <c r="I945" s="5">
        <v>27</v>
      </c>
      <c r="J945" s="5">
        <v>2012</v>
      </c>
      <c r="K945" s="5">
        <v>2694.77</v>
      </c>
      <c r="L945" s="5">
        <v>704</v>
      </c>
      <c r="M945" s="5">
        <v>130</v>
      </c>
      <c r="N945" s="5">
        <v>9</v>
      </c>
      <c r="O945" s="5" t="s">
        <v>24</v>
      </c>
      <c r="P945" s="5">
        <v>7835</v>
      </c>
      <c r="Q945" s="5" t="s">
        <v>40</v>
      </c>
      <c r="R945" s="2">
        <v>72758.789999999994</v>
      </c>
      <c r="S945" s="2">
        <v>18434.79</v>
      </c>
      <c r="T945" s="1">
        <v>45725</v>
      </c>
      <c r="U945" s="5">
        <v>3</v>
      </c>
    </row>
    <row r="946" spans="1:21" x14ac:dyDescent="0.3">
      <c r="A946" s="5" t="s">
        <v>1007</v>
      </c>
      <c r="B946" s="1">
        <v>45876</v>
      </c>
      <c r="C946" s="5" t="s">
        <v>42</v>
      </c>
      <c r="D946" s="5" t="s">
        <v>36</v>
      </c>
      <c r="E946" s="5" t="s">
        <v>54</v>
      </c>
      <c r="F946" s="5" t="s">
        <v>81</v>
      </c>
      <c r="G946" s="5" t="s">
        <v>31</v>
      </c>
      <c r="H946" s="5" t="s">
        <v>51</v>
      </c>
      <c r="I946" s="5">
        <v>43</v>
      </c>
      <c r="J946" s="5">
        <v>332</v>
      </c>
      <c r="K946" s="5">
        <v>464.75</v>
      </c>
      <c r="L946" s="5">
        <v>75</v>
      </c>
      <c r="M946" s="5">
        <v>165</v>
      </c>
      <c r="N946" s="5">
        <v>3</v>
      </c>
      <c r="O946" s="5" t="s">
        <v>32</v>
      </c>
      <c r="P946" s="5">
        <v>4962</v>
      </c>
      <c r="Q946" s="5" t="s">
        <v>25</v>
      </c>
      <c r="R946" s="2">
        <v>19984.25</v>
      </c>
      <c r="S946" s="2">
        <v>5708.25</v>
      </c>
      <c r="T946" s="1">
        <v>45876</v>
      </c>
      <c r="U946" s="5">
        <v>8</v>
      </c>
    </row>
    <row r="947" spans="1:21" x14ac:dyDescent="0.3">
      <c r="A947" s="5" t="s">
        <v>1008</v>
      </c>
      <c r="B947" s="1">
        <v>46020</v>
      </c>
      <c r="C947" s="5" t="s">
        <v>35</v>
      </c>
      <c r="D947" s="5" t="s">
        <v>28</v>
      </c>
      <c r="E947" s="5" t="s">
        <v>54</v>
      </c>
      <c r="F947" s="5" t="s">
        <v>78</v>
      </c>
      <c r="G947" s="5" t="s">
        <v>38</v>
      </c>
      <c r="H947" s="5" t="s">
        <v>39</v>
      </c>
      <c r="I947" s="5">
        <v>388</v>
      </c>
      <c r="J947" s="5">
        <v>2129</v>
      </c>
      <c r="K947" s="5">
        <v>2785.54</v>
      </c>
      <c r="L947" s="5">
        <v>559</v>
      </c>
      <c r="M947" s="5">
        <v>259</v>
      </c>
      <c r="N947" s="5">
        <v>3</v>
      </c>
      <c r="O947" s="5" t="s">
        <v>32</v>
      </c>
      <c r="P947" s="5">
        <v>6748</v>
      </c>
      <c r="Q947" s="5" t="s">
        <v>33</v>
      </c>
      <c r="R947" s="2">
        <v>1080789.52</v>
      </c>
      <c r="S947" s="2">
        <v>254737.52</v>
      </c>
      <c r="T947" s="1">
        <v>46020</v>
      </c>
      <c r="U947" s="5">
        <v>12</v>
      </c>
    </row>
    <row r="948" spans="1:21" x14ac:dyDescent="0.3">
      <c r="A948" s="5" t="s">
        <v>1009</v>
      </c>
      <c r="B948" s="1">
        <v>45975</v>
      </c>
      <c r="C948" s="5" t="s">
        <v>18</v>
      </c>
      <c r="D948" s="5" t="s">
        <v>28</v>
      </c>
      <c r="E948" s="5" t="s">
        <v>54</v>
      </c>
      <c r="F948" s="5" t="s">
        <v>63</v>
      </c>
      <c r="G948" s="5" t="s">
        <v>22</v>
      </c>
      <c r="H948" s="5" t="s">
        <v>39</v>
      </c>
      <c r="I948" s="5">
        <v>200</v>
      </c>
      <c r="J948" s="5">
        <v>3194</v>
      </c>
      <c r="K948" s="5">
        <v>3941.68</v>
      </c>
      <c r="L948" s="5">
        <v>153</v>
      </c>
      <c r="M948" s="5">
        <v>227</v>
      </c>
      <c r="N948" s="5">
        <v>1</v>
      </c>
      <c r="O948" s="5" t="s">
        <v>32</v>
      </c>
      <c r="P948" s="5">
        <v>2646</v>
      </c>
      <c r="Q948" s="5" t="s">
        <v>33</v>
      </c>
      <c r="R948" s="2">
        <v>788336</v>
      </c>
      <c r="S948" s="2">
        <v>149536</v>
      </c>
      <c r="T948" s="1">
        <v>45975</v>
      </c>
      <c r="U948" s="5">
        <v>11</v>
      </c>
    </row>
    <row r="949" spans="1:21" x14ac:dyDescent="0.3">
      <c r="A949" s="5" t="s">
        <v>1010</v>
      </c>
      <c r="B949" s="1">
        <v>45835</v>
      </c>
      <c r="C949" s="5" t="s">
        <v>35</v>
      </c>
      <c r="D949" s="5" t="s">
        <v>19</v>
      </c>
      <c r="E949" s="5" t="s">
        <v>29</v>
      </c>
      <c r="F949" s="5" t="s">
        <v>43</v>
      </c>
      <c r="G949" s="5" t="s">
        <v>56</v>
      </c>
      <c r="H949" s="5" t="s">
        <v>23</v>
      </c>
      <c r="I949" s="5">
        <v>384</v>
      </c>
      <c r="J949" s="5">
        <v>4360</v>
      </c>
      <c r="K949" s="5">
        <v>5535.29</v>
      </c>
      <c r="L949" s="5">
        <v>1532</v>
      </c>
      <c r="M949" s="5">
        <v>258</v>
      </c>
      <c r="N949" s="5">
        <v>3</v>
      </c>
      <c r="O949" s="5" t="s">
        <v>32</v>
      </c>
      <c r="P949" s="5">
        <v>2470</v>
      </c>
      <c r="Q949" s="5" t="s">
        <v>33</v>
      </c>
      <c r="R949" s="2">
        <v>2125551.36</v>
      </c>
      <c r="S949" s="2">
        <v>451311.35999999999</v>
      </c>
      <c r="T949" s="1">
        <v>45835</v>
      </c>
      <c r="U949" s="5">
        <v>6</v>
      </c>
    </row>
    <row r="950" spans="1:21" x14ac:dyDescent="0.3">
      <c r="A950" s="5" t="s">
        <v>1011</v>
      </c>
      <c r="B950" s="1">
        <v>45835</v>
      </c>
      <c r="C950" s="5" t="s">
        <v>35</v>
      </c>
      <c r="D950" s="5" t="s">
        <v>62</v>
      </c>
      <c r="E950" s="5" t="s">
        <v>29</v>
      </c>
      <c r="F950" s="5" t="s">
        <v>30</v>
      </c>
      <c r="G950" s="5" t="s">
        <v>38</v>
      </c>
      <c r="H950" s="5" t="s">
        <v>23</v>
      </c>
      <c r="I950" s="5">
        <v>411</v>
      </c>
      <c r="J950" s="5">
        <v>4994</v>
      </c>
      <c r="K950" s="5">
        <v>7391.6</v>
      </c>
      <c r="L950" s="5">
        <v>499</v>
      </c>
      <c r="M950" s="5">
        <v>135</v>
      </c>
      <c r="N950" s="5">
        <v>5</v>
      </c>
      <c r="O950" s="5" t="s">
        <v>32</v>
      </c>
      <c r="P950" s="5">
        <v>7512</v>
      </c>
      <c r="Q950" s="5" t="s">
        <v>33</v>
      </c>
      <c r="R950" s="2">
        <v>3037947.6</v>
      </c>
      <c r="S950" s="2">
        <v>985413.6</v>
      </c>
      <c r="T950" s="1">
        <v>45835</v>
      </c>
      <c r="U950" s="5">
        <v>6</v>
      </c>
    </row>
    <row r="951" spans="1:21" x14ac:dyDescent="0.3">
      <c r="A951" s="5" t="s">
        <v>1012</v>
      </c>
      <c r="B951" s="1">
        <v>45805</v>
      </c>
      <c r="C951" s="5" t="s">
        <v>27</v>
      </c>
      <c r="D951" s="5" t="s">
        <v>28</v>
      </c>
      <c r="E951" s="5" t="s">
        <v>20</v>
      </c>
      <c r="F951" s="5" t="s">
        <v>37</v>
      </c>
      <c r="G951" s="5" t="s">
        <v>38</v>
      </c>
      <c r="H951" s="5" t="s">
        <v>39</v>
      </c>
      <c r="I951" s="5">
        <v>197</v>
      </c>
      <c r="J951" s="5">
        <v>4779</v>
      </c>
      <c r="K951" s="5">
        <v>5573.65</v>
      </c>
      <c r="L951" s="5">
        <v>1096</v>
      </c>
      <c r="M951" s="5">
        <v>115</v>
      </c>
      <c r="N951" s="5">
        <v>7</v>
      </c>
      <c r="O951" s="5" t="s">
        <v>24</v>
      </c>
      <c r="P951" s="5">
        <v>3337</v>
      </c>
      <c r="Q951" s="5" t="s">
        <v>33</v>
      </c>
      <c r="R951" s="2">
        <v>1098009.05</v>
      </c>
      <c r="S951" s="2">
        <v>156546.04999999999</v>
      </c>
      <c r="T951" s="1">
        <v>45805</v>
      </c>
      <c r="U951" s="5">
        <v>5</v>
      </c>
    </row>
    <row r="952" spans="1:21" x14ac:dyDescent="0.3">
      <c r="A952" s="5" t="s">
        <v>1013</v>
      </c>
      <c r="B952" s="1">
        <v>45729</v>
      </c>
      <c r="C952" s="5" t="s">
        <v>35</v>
      </c>
      <c r="D952" s="5" t="s">
        <v>19</v>
      </c>
      <c r="E952" s="5" t="s">
        <v>54</v>
      </c>
      <c r="F952" s="5" t="s">
        <v>63</v>
      </c>
      <c r="G952" s="5" t="s">
        <v>22</v>
      </c>
      <c r="H952" s="5" t="s">
        <v>23</v>
      </c>
      <c r="I952" s="5">
        <v>97</v>
      </c>
      <c r="J952" s="5">
        <v>2638</v>
      </c>
      <c r="K952" s="5">
        <v>3267.78</v>
      </c>
      <c r="L952" s="5">
        <v>1256</v>
      </c>
      <c r="M952" s="5">
        <v>294</v>
      </c>
      <c r="N952" s="5">
        <v>6</v>
      </c>
      <c r="O952" s="5" t="s">
        <v>24</v>
      </c>
      <c r="P952" s="5">
        <v>2332</v>
      </c>
      <c r="Q952" s="5" t="s">
        <v>33</v>
      </c>
      <c r="R952" s="2">
        <v>316974.65999999997</v>
      </c>
      <c r="S952" s="2">
        <v>61088.66</v>
      </c>
      <c r="T952" s="1">
        <v>45729</v>
      </c>
      <c r="U952" s="5">
        <v>3</v>
      </c>
    </row>
    <row r="953" spans="1:21" x14ac:dyDescent="0.3">
      <c r="A953" s="5" t="s">
        <v>1014</v>
      </c>
      <c r="B953" s="1">
        <v>45784</v>
      </c>
      <c r="C953" s="5" t="s">
        <v>18</v>
      </c>
      <c r="D953" s="5" t="s">
        <v>36</v>
      </c>
      <c r="E953" s="5" t="s">
        <v>29</v>
      </c>
      <c r="F953" s="5" t="s">
        <v>43</v>
      </c>
      <c r="G953" s="5" t="s">
        <v>56</v>
      </c>
      <c r="H953" s="5" t="s">
        <v>23</v>
      </c>
      <c r="I953" s="5">
        <v>431</v>
      </c>
      <c r="J953" s="5">
        <v>4679</v>
      </c>
      <c r="K953" s="5">
        <v>5517.65</v>
      </c>
      <c r="L953" s="5">
        <v>458</v>
      </c>
      <c r="M953" s="5">
        <v>182</v>
      </c>
      <c r="N953" s="5">
        <v>2</v>
      </c>
      <c r="O953" s="5" t="s">
        <v>32</v>
      </c>
      <c r="P953" s="5">
        <v>5793</v>
      </c>
      <c r="Q953" s="5" t="s">
        <v>33</v>
      </c>
      <c r="R953" s="2">
        <v>2378107.15</v>
      </c>
      <c r="S953" s="2">
        <v>361458.15</v>
      </c>
      <c r="T953" s="1">
        <v>45784</v>
      </c>
      <c r="U953" s="5">
        <v>5</v>
      </c>
    </row>
    <row r="954" spans="1:21" x14ac:dyDescent="0.3">
      <c r="A954" s="5" t="s">
        <v>1015</v>
      </c>
      <c r="B954" s="1">
        <v>45953</v>
      </c>
      <c r="C954" s="5" t="s">
        <v>35</v>
      </c>
      <c r="D954" s="5" t="s">
        <v>62</v>
      </c>
      <c r="E954" s="5" t="s">
        <v>29</v>
      </c>
      <c r="F954" s="5" t="s">
        <v>30</v>
      </c>
      <c r="G954" s="5" t="s">
        <v>38</v>
      </c>
      <c r="H954" s="5" t="s">
        <v>51</v>
      </c>
      <c r="I954" s="5">
        <v>500</v>
      </c>
      <c r="J954" s="5">
        <v>3734</v>
      </c>
      <c r="K954" s="5">
        <v>4929.8</v>
      </c>
      <c r="L954" s="5">
        <v>383</v>
      </c>
      <c r="M954" s="5">
        <v>274</v>
      </c>
      <c r="N954" s="5">
        <v>8</v>
      </c>
      <c r="O954" s="5" t="s">
        <v>24</v>
      </c>
      <c r="P954" s="5">
        <v>507</v>
      </c>
      <c r="Q954" s="5" t="s">
        <v>25</v>
      </c>
      <c r="R954" s="2">
        <v>2464900</v>
      </c>
      <c r="S954" s="2">
        <v>597900</v>
      </c>
      <c r="T954" s="1">
        <v>45953</v>
      </c>
      <c r="U954" s="5">
        <v>10</v>
      </c>
    </row>
    <row r="955" spans="1:21" x14ac:dyDescent="0.3">
      <c r="A955" s="5" t="s">
        <v>1016</v>
      </c>
      <c r="B955" s="1">
        <v>45891</v>
      </c>
      <c r="C955" s="5" t="s">
        <v>42</v>
      </c>
      <c r="D955" s="5" t="s">
        <v>28</v>
      </c>
      <c r="E955" s="5" t="s">
        <v>20</v>
      </c>
      <c r="F955" s="5" t="s">
        <v>60</v>
      </c>
      <c r="G955" s="5" t="s">
        <v>31</v>
      </c>
      <c r="H955" s="5" t="s">
        <v>51</v>
      </c>
      <c r="I955" s="5">
        <v>157</v>
      </c>
      <c r="J955" s="5">
        <v>501</v>
      </c>
      <c r="K955" s="5">
        <v>602.05999999999995</v>
      </c>
      <c r="L955" s="5">
        <v>1284</v>
      </c>
      <c r="M955" s="5">
        <v>278</v>
      </c>
      <c r="N955" s="5">
        <v>2</v>
      </c>
      <c r="O955" s="5" t="s">
        <v>32</v>
      </c>
      <c r="P955" s="5">
        <v>5636</v>
      </c>
      <c r="Q955" s="5" t="s">
        <v>33</v>
      </c>
      <c r="R955" s="2">
        <v>94523.42</v>
      </c>
      <c r="S955" s="2">
        <v>15866.42</v>
      </c>
      <c r="T955" s="1">
        <v>45891</v>
      </c>
      <c r="U955" s="5">
        <v>8</v>
      </c>
    </row>
    <row r="956" spans="1:21" x14ac:dyDescent="0.3">
      <c r="A956" s="5" t="s">
        <v>1017</v>
      </c>
      <c r="B956" s="1">
        <v>45742</v>
      </c>
      <c r="C956" s="5" t="s">
        <v>35</v>
      </c>
      <c r="D956" s="5" t="s">
        <v>36</v>
      </c>
      <c r="E956" s="5" t="s">
        <v>54</v>
      </c>
      <c r="F956" s="5" t="s">
        <v>87</v>
      </c>
      <c r="G956" s="5" t="s">
        <v>38</v>
      </c>
      <c r="H956" s="5" t="s">
        <v>39</v>
      </c>
      <c r="I956" s="5">
        <v>291</v>
      </c>
      <c r="J956" s="5">
        <v>2919</v>
      </c>
      <c r="K956" s="5">
        <v>4040.29</v>
      </c>
      <c r="L956" s="5">
        <v>1235</v>
      </c>
      <c r="M956" s="5">
        <v>123</v>
      </c>
      <c r="N956" s="5">
        <v>1</v>
      </c>
      <c r="O956" s="5" t="s">
        <v>32</v>
      </c>
      <c r="P956" s="5">
        <v>6953</v>
      </c>
      <c r="Q956" s="5" t="s">
        <v>33</v>
      </c>
      <c r="R956" s="2">
        <v>1175724.3899999999</v>
      </c>
      <c r="S956" s="2">
        <v>326295.39</v>
      </c>
      <c r="T956" s="1">
        <v>45742</v>
      </c>
      <c r="U956" s="5">
        <v>3</v>
      </c>
    </row>
    <row r="957" spans="1:21" x14ac:dyDescent="0.3">
      <c r="A957" s="5" t="s">
        <v>1018</v>
      </c>
      <c r="B957" s="1">
        <v>45805</v>
      </c>
      <c r="C957" s="5" t="s">
        <v>18</v>
      </c>
      <c r="D957" s="5" t="s">
        <v>36</v>
      </c>
      <c r="E957" s="5" t="s">
        <v>54</v>
      </c>
      <c r="F957" s="5" t="s">
        <v>55</v>
      </c>
      <c r="G957" s="5" t="s">
        <v>22</v>
      </c>
      <c r="H957" s="5" t="s">
        <v>51</v>
      </c>
      <c r="I957" s="5">
        <v>404</v>
      </c>
      <c r="J957" s="5">
        <v>3529</v>
      </c>
      <c r="K957" s="5">
        <v>5149.62</v>
      </c>
      <c r="L957" s="5">
        <v>544</v>
      </c>
      <c r="M957" s="5">
        <v>140</v>
      </c>
      <c r="N957" s="5">
        <v>6</v>
      </c>
      <c r="O957" s="5" t="s">
        <v>24</v>
      </c>
      <c r="P957" s="5">
        <v>5887</v>
      </c>
      <c r="Q957" s="5" t="s">
        <v>33</v>
      </c>
      <c r="R957" s="2">
        <v>2080446.48</v>
      </c>
      <c r="S957" s="2">
        <v>654730.48</v>
      </c>
      <c r="T957" s="1">
        <v>45805</v>
      </c>
      <c r="U957" s="5">
        <v>5</v>
      </c>
    </row>
    <row r="958" spans="1:21" x14ac:dyDescent="0.3">
      <c r="A958" s="5" t="s">
        <v>1019</v>
      </c>
      <c r="B958" s="1">
        <v>45826</v>
      </c>
      <c r="C958" s="5" t="s">
        <v>18</v>
      </c>
      <c r="D958" s="5" t="s">
        <v>28</v>
      </c>
      <c r="E958" s="5" t="s">
        <v>49</v>
      </c>
      <c r="F958" s="5" t="s">
        <v>75</v>
      </c>
      <c r="G958" s="5" t="s">
        <v>31</v>
      </c>
      <c r="H958" s="5" t="s">
        <v>23</v>
      </c>
      <c r="I958" s="5">
        <v>416</v>
      </c>
      <c r="J958" s="5">
        <v>173</v>
      </c>
      <c r="K958" s="5">
        <v>203.41</v>
      </c>
      <c r="L958" s="5">
        <v>1291</v>
      </c>
      <c r="M958" s="5">
        <v>164</v>
      </c>
      <c r="N958" s="5">
        <v>6</v>
      </c>
      <c r="O958" s="5" t="s">
        <v>24</v>
      </c>
      <c r="P958" s="5">
        <v>1311</v>
      </c>
      <c r="Q958" s="5" t="s">
        <v>46</v>
      </c>
      <c r="R958" s="2">
        <v>84618.559999999998</v>
      </c>
      <c r="S958" s="2">
        <v>12650.56</v>
      </c>
      <c r="T958" s="1">
        <v>45826</v>
      </c>
      <c r="U958" s="5">
        <v>6</v>
      </c>
    </row>
    <row r="959" spans="1:21" x14ac:dyDescent="0.3">
      <c r="A959" s="5" t="s">
        <v>1020</v>
      </c>
      <c r="B959" s="1">
        <v>45709</v>
      </c>
      <c r="C959" s="5" t="s">
        <v>42</v>
      </c>
      <c r="D959" s="5" t="s">
        <v>62</v>
      </c>
      <c r="E959" s="5" t="s">
        <v>20</v>
      </c>
      <c r="F959" s="5" t="s">
        <v>45</v>
      </c>
      <c r="G959" s="5" t="s">
        <v>38</v>
      </c>
      <c r="H959" s="5" t="s">
        <v>39</v>
      </c>
      <c r="I959" s="5">
        <v>330</v>
      </c>
      <c r="J959" s="5">
        <v>3906</v>
      </c>
      <c r="K959" s="5">
        <v>5670.88</v>
      </c>
      <c r="L959" s="5">
        <v>722</v>
      </c>
      <c r="M959" s="5">
        <v>191</v>
      </c>
      <c r="N959" s="5">
        <v>5</v>
      </c>
      <c r="O959" s="5" t="s">
        <v>24</v>
      </c>
      <c r="P959" s="5">
        <v>6539</v>
      </c>
      <c r="Q959" s="5" t="s">
        <v>25</v>
      </c>
      <c r="R959" s="2">
        <v>1871390.4</v>
      </c>
      <c r="S959" s="2">
        <v>582410.4</v>
      </c>
      <c r="T959" s="1">
        <v>45709</v>
      </c>
      <c r="U959" s="5">
        <v>2</v>
      </c>
    </row>
    <row r="960" spans="1:21" x14ac:dyDescent="0.3">
      <c r="A960" s="5" t="s">
        <v>1021</v>
      </c>
      <c r="B960" s="1">
        <v>45779</v>
      </c>
      <c r="C960" s="5" t="s">
        <v>18</v>
      </c>
      <c r="D960" s="5" t="s">
        <v>53</v>
      </c>
      <c r="E960" s="5" t="s">
        <v>49</v>
      </c>
      <c r="F960" s="5" t="s">
        <v>89</v>
      </c>
      <c r="G960" s="5" t="s">
        <v>56</v>
      </c>
      <c r="H960" s="5" t="s">
        <v>23</v>
      </c>
      <c r="I960" s="5">
        <v>474</v>
      </c>
      <c r="J960" s="5">
        <v>1938</v>
      </c>
      <c r="K960" s="5">
        <v>2489.5500000000002</v>
      </c>
      <c r="L960" s="5">
        <v>538</v>
      </c>
      <c r="M960" s="5">
        <v>128</v>
      </c>
      <c r="N960" s="5">
        <v>4</v>
      </c>
      <c r="O960" s="5" t="s">
        <v>32</v>
      </c>
      <c r="P960" s="5">
        <v>3836</v>
      </c>
      <c r="Q960" s="5" t="s">
        <v>33</v>
      </c>
      <c r="R960" s="2">
        <v>1180046.7</v>
      </c>
      <c r="S960" s="2">
        <v>261434.7</v>
      </c>
      <c r="T960" s="1">
        <v>45779</v>
      </c>
      <c r="U960" s="5">
        <v>5</v>
      </c>
    </row>
    <row r="961" spans="1:21" x14ac:dyDescent="0.3">
      <c r="A961" s="5" t="s">
        <v>1022</v>
      </c>
      <c r="B961" s="1">
        <v>45828</v>
      </c>
      <c r="C961" s="5" t="s">
        <v>42</v>
      </c>
      <c r="D961" s="5" t="s">
        <v>19</v>
      </c>
      <c r="E961" s="5" t="s">
        <v>29</v>
      </c>
      <c r="F961" s="5" t="s">
        <v>69</v>
      </c>
      <c r="G961" s="5" t="s">
        <v>31</v>
      </c>
      <c r="H961" s="5" t="s">
        <v>51</v>
      </c>
      <c r="I961" s="5">
        <v>269</v>
      </c>
      <c r="J961" s="5">
        <v>1661</v>
      </c>
      <c r="K961" s="5">
        <v>2485</v>
      </c>
      <c r="L961" s="5">
        <v>1807</v>
      </c>
      <c r="M961" s="5">
        <v>110</v>
      </c>
      <c r="N961" s="5">
        <v>10</v>
      </c>
      <c r="O961" s="5" t="s">
        <v>24</v>
      </c>
      <c r="P961" s="5">
        <v>1286</v>
      </c>
      <c r="Q961" s="5" t="s">
        <v>25</v>
      </c>
      <c r="R961" s="2">
        <v>668465</v>
      </c>
      <c r="S961" s="2">
        <v>221656</v>
      </c>
      <c r="T961" s="1">
        <v>45828</v>
      </c>
      <c r="U961" s="5">
        <v>6</v>
      </c>
    </row>
    <row r="962" spans="1:21" x14ac:dyDescent="0.3">
      <c r="A962" s="5" t="s">
        <v>1023</v>
      </c>
      <c r="B962" s="1">
        <v>45802</v>
      </c>
      <c r="C962" s="5" t="s">
        <v>18</v>
      </c>
      <c r="D962" s="5" t="s">
        <v>53</v>
      </c>
      <c r="E962" s="5" t="s">
        <v>49</v>
      </c>
      <c r="F962" s="5" t="s">
        <v>50</v>
      </c>
      <c r="G962" s="5" t="s">
        <v>38</v>
      </c>
      <c r="H962" s="5" t="s">
        <v>39</v>
      </c>
      <c r="I962" s="5">
        <v>426</v>
      </c>
      <c r="J962" s="5">
        <v>3130</v>
      </c>
      <c r="K962" s="5">
        <v>4460.66</v>
      </c>
      <c r="L962" s="5">
        <v>1109</v>
      </c>
      <c r="M962" s="5">
        <v>227</v>
      </c>
      <c r="N962" s="5">
        <v>3</v>
      </c>
      <c r="O962" s="5" t="s">
        <v>32</v>
      </c>
      <c r="P962" s="5">
        <v>1362</v>
      </c>
      <c r="Q962" s="5" t="s">
        <v>33</v>
      </c>
      <c r="R962" s="2">
        <v>1900241.16</v>
      </c>
      <c r="S962" s="2">
        <v>566861.16</v>
      </c>
      <c r="T962" s="1">
        <v>45802</v>
      </c>
      <c r="U962" s="5">
        <v>5</v>
      </c>
    </row>
    <row r="963" spans="1:21" x14ac:dyDescent="0.3">
      <c r="A963" s="5" t="s">
        <v>1024</v>
      </c>
      <c r="B963" s="1">
        <v>45798</v>
      </c>
      <c r="C963" s="5" t="s">
        <v>42</v>
      </c>
      <c r="D963" s="5" t="s">
        <v>53</v>
      </c>
      <c r="E963" s="5" t="s">
        <v>20</v>
      </c>
      <c r="F963" s="5" t="s">
        <v>21</v>
      </c>
      <c r="G963" s="5" t="s">
        <v>31</v>
      </c>
      <c r="H963" s="5" t="s">
        <v>51</v>
      </c>
      <c r="I963" s="5">
        <v>453</v>
      </c>
      <c r="J963" s="5">
        <v>2498</v>
      </c>
      <c r="K963" s="5">
        <v>3095.17</v>
      </c>
      <c r="L963" s="5">
        <v>1544</v>
      </c>
      <c r="M963" s="5">
        <v>166</v>
      </c>
      <c r="N963" s="5">
        <v>8</v>
      </c>
      <c r="O963" s="5" t="s">
        <v>24</v>
      </c>
      <c r="P963" s="5">
        <v>1920</v>
      </c>
      <c r="Q963" s="5" t="s">
        <v>25</v>
      </c>
      <c r="R963" s="2">
        <v>1402112.01</v>
      </c>
      <c r="S963" s="2">
        <v>270518.01</v>
      </c>
      <c r="T963" s="1">
        <v>45798</v>
      </c>
      <c r="U963" s="5">
        <v>5</v>
      </c>
    </row>
    <row r="964" spans="1:21" x14ac:dyDescent="0.3">
      <c r="A964" s="5" t="s">
        <v>1025</v>
      </c>
      <c r="B964" s="1">
        <v>45898</v>
      </c>
      <c r="C964" s="5" t="s">
        <v>18</v>
      </c>
      <c r="D964" s="5" t="s">
        <v>36</v>
      </c>
      <c r="E964" s="5" t="s">
        <v>54</v>
      </c>
      <c r="F964" s="5" t="s">
        <v>78</v>
      </c>
      <c r="G964" s="5" t="s">
        <v>56</v>
      </c>
      <c r="H964" s="5" t="s">
        <v>23</v>
      </c>
      <c r="I964" s="5">
        <v>319</v>
      </c>
      <c r="J964" s="5">
        <v>2844</v>
      </c>
      <c r="K964" s="5">
        <v>3371.51</v>
      </c>
      <c r="L964" s="5">
        <v>1803</v>
      </c>
      <c r="M964" s="5">
        <v>160</v>
      </c>
      <c r="N964" s="5">
        <v>7</v>
      </c>
      <c r="O964" s="5" t="s">
        <v>24</v>
      </c>
      <c r="P964" s="5">
        <v>3144</v>
      </c>
      <c r="Q964" s="5" t="s">
        <v>33</v>
      </c>
      <c r="R964" s="2">
        <v>1075511.69</v>
      </c>
      <c r="S964" s="2">
        <v>168275.69</v>
      </c>
      <c r="T964" s="1">
        <v>45898</v>
      </c>
      <c r="U964" s="5">
        <v>8</v>
      </c>
    </row>
    <row r="965" spans="1:21" x14ac:dyDescent="0.3">
      <c r="A965" s="5" t="s">
        <v>1026</v>
      </c>
      <c r="B965" s="1">
        <v>45897</v>
      </c>
      <c r="C965" s="5" t="s">
        <v>18</v>
      </c>
      <c r="D965" s="5" t="s">
        <v>62</v>
      </c>
      <c r="E965" s="5" t="s">
        <v>49</v>
      </c>
      <c r="F965" s="5" t="s">
        <v>50</v>
      </c>
      <c r="G965" s="5" t="s">
        <v>38</v>
      </c>
      <c r="H965" s="5" t="s">
        <v>39</v>
      </c>
      <c r="I965" s="5">
        <v>447</v>
      </c>
      <c r="J965" s="5">
        <v>2605</v>
      </c>
      <c r="K965" s="5">
        <v>3863.1</v>
      </c>
      <c r="L965" s="5">
        <v>1732</v>
      </c>
      <c r="M965" s="5">
        <v>284</v>
      </c>
      <c r="N965" s="5">
        <v>2</v>
      </c>
      <c r="O965" s="5" t="s">
        <v>32</v>
      </c>
      <c r="P965" s="5">
        <v>812</v>
      </c>
      <c r="Q965" s="5" t="s">
        <v>33</v>
      </c>
      <c r="R965" s="2">
        <v>1726805.7</v>
      </c>
      <c r="S965" s="2">
        <v>562370.69999999995</v>
      </c>
      <c r="T965" s="1">
        <v>45897</v>
      </c>
      <c r="U965" s="5">
        <v>8</v>
      </c>
    </row>
    <row r="966" spans="1:21" x14ac:dyDescent="0.3">
      <c r="A966" s="5" t="s">
        <v>1027</v>
      </c>
      <c r="B966" s="1">
        <v>45966</v>
      </c>
      <c r="C966" s="5" t="s">
        <v>42</v>
      </c>
      <c r="D966" s="5" t="s">
        <v>19</v>
      </c>
      <c r="E966" s="5" t="s">
        <v>29</v>
      </c>
      <c r="F966" s="5" t="s">
        <v>58</v>
      </c>
      <c r="G966" s="5" t="s">
        <v>38</v>
      </c>
      <c r="H966" s="5" t="s">
        <v>23</v>
      </c>
      <c r="I966" s="5">
        <v>460</v>
      </c>
      <c r="J966" s="5">
        <v>4351</v>
      </c>
      <c r="K966" s="5">
        <v>5116.91</v>
      </c>
      <c r="L966" s="5">
        <v>1055</v>
      </c>
      <c r="M966" s="5">
        <v>168</v>
      </c>
      <c r="N966" s="5">
        <v>1</v>
      </c>
      <c r="O966" s="5" t="s">
        <v>24</v>
      </c>
      <c r="P966" s="5">
        <v>1162</v>
      </c>
      <c r="Q966" s="5" t="s">
        <v>33</v>
      </c>
      <c r="R966" s="2">
        <v>2353778.6</v>
      </c>
      <c r="S966" s="2">
        <v>352318.6</v>
      </c>
      <c r="T966" s="1">
        <v>45966</v>
      </c>
      <c r="U966" s="5">
        <v>11</v>
      </c>
    </row>
    <row r="967" spans="1:21" x14ac:dyDescent="0.3">
      <c r="A967" s="5" t="s">
        <v>1028</v>
      </c>
      <c r="B967" s="1">
        <v>45704</v>
      </c>
      <c r="C967" s="5" t="s">
        <v>35</v>
      </c>
      <c r="D967" s="5" t="s">
        <v>62</v>
      </c>
      <c r="E967" s="5" t="s">
        <v>29</v>
      </c>
      <c r="F967" s="5" t="s">
        <v>58</v>
      </c>
      <c r="G967" s="5" t="s">
        <v>56</v>
      </c>
      <c r="H967" s="5" t="s">
        <v>23</v>
      </c>
      <c r="I967" s="5">
        <v>181</v>
      </c>
      <c r="J967" s="5">
        <v>1187</v>
      </c>
      <c r="K967" s="5">
        <v>1398</v>
      </c>
      <c r="L967" s="5">
        <v>991</v>
      </c>
      <c r="M967" s="5">
        <v>234</v>
      </c>
      <c r="N967" s="5">
        <v>3</v>
      </c>
      <c r="O967" s="5" t="s">
        <v>32</v>
      </c>
      <c r="P967" s="5">
        <v>6731</v>
      </c>
      <c r="Q967" s="5" t="s">
        <v>33</v>
      </c>
      <c r="R967" s="2">
        <v>253038</v>
      </c>
      <c r="S967" s="2">
        <v>38191</v>
      </c>
      <c r="T967" s="1">
        <v>45704</v>
      </c>
      <c r="U967" s="5">
        <v>2</v>
      </c>
    </row>
    <row r="968" spans="1:21" x14ac:dyDescent="0.3">
      <c r="A968" s="5" t="s">
        <v>1029</v>
      </c>
      <c r="B968" s="1">
        <v>45895</v>
      </c>
      <c r="C968" s="5" t="s">
        <v>42</v>
      </c>
      <c r="D968" s="5" t="s">
        <v>28</v>
      </c>
      <c r="E968" s="5" t="s">
        <v>49</v>
      </c>
      <c r="F968" s="5" t="s">
        <v>65</v>
      </c>
      <c r="G968" s="5" t="s">
        <v>56</v>
      </c>
      <c r="H968" s="5" t="s">
        <v>39</v>
      </c>
      <c r="I968" s="5">
        <v>430</v>
      </c>
      <c r="J968" s="5">
        <v>1852</v>
      </c>
      <c r="K968" s="5">
        <v>2577.15</v>
      </c>
      <c r="L968" s="5">
        <v>1679</v>
      </c>
      <c r="M968" s="5">
        <v>281</v>
      </c>
      <c r="N968" s="5">
        <v>3</v>
      </c>
      <c r="O968" s="5" t="s">
        <v>32</v>
      </c>
      <c r="P968" s="5">
        <v>2258</v>
      </c>
      <c r="Q968" s="5" t="s">
        <v>33</v>
      </c>
      <c r="R968" s="2">
        <v>1108174.5</v>
      </c>
      <c r="S968" s="2">
        <v>311814.5</v>
      </c>
      <c r="T968" s="1">
        <v>45895</v>
      </c>
      <c r="U968" s="5">
        <v>8</v>
      </c>
    </row>
    <row r="969" spans="1:21" x14ac:dyDescent="0.3">
      <c r="A969" s="5" t="s">
        <v>1030</v>
      </c>
      <c r="B969" s="1">
        <v>45729</v>
      </c>
      <c r="C969" s="5" t="s">
        <v>42</v>
      </c>
      <c r="D969" s="5" t="s">
        <v>53</v>
      </c>
      <c r="E969" s="5" t="s">
        <v>49</v>
      </c>
      <c r="F969" s="5" t="s">
        <v>89</v>
      </c>
      <c r="G969" s="5" t="s">
        <v>22</v>
      </c>
      <c r="H969" s="5" t="s">
        <v>23</v>
      </c>
      <c r="I969" s="5">
        <v>280</v>
      </c>
      <c r="J969" s="5">
        <v>2511</v>
      </c>
      <c r="K969" s="5">
        <v>3524.16</v>
      </c>
      <c r="L969" s="5">
        <v>1616</v>
      </c>
      <c r="M969" s="5">
        <v>233</v>
      </c>
      <c r="N969" s="5">
        <v>3</v>
      </c>
      <c r="O969" s="5" t="s">
        <v>32</v>
      </c>
      <c r="P969" s="5">
        <v>318</v>
      </c>
      <c r="Q969" s="5" t="s">
        <v>33</v>
      </c>
      <c r="R969" s="2">
        <v>986764.80000000005</v>
      </c>
      <c r="S969" s="2">
        <v>283684.8</v>
      </c>
      <c r="T969" s="1">
        <v>45729</v>
      </c>
      <c r="U969" s="5">
        <v>3</v>
      </c>
    </row>
    <row r="970" spans="1:21" x14ac:dyDescent="0.3">
      <c r="A970" s="5" t="s">
        <v>1031</v>
      </c>
      <c r="B970" s="1">
        <v>45680</v>
      </c>
      <c r="C970" s="5" t="s">
        <v>42</v>
      </c>
      <c r="D970" s="5" t="s">
        <v>62</v>
      </c>
      <c r="E970" s="5" t="s">
        <v>49</v>
      </c>
      <c r="F970" s="5" t="s">
        <v>65</v>
      </c>
      <c r="G970" s="5" t="s">
        <v>31</v>
      </c>
      <c r="H970" s="5" t="s">
        <v>39</v>
      </c>
      <c r="I970" s="5">
        <v>81</v>
      </c>
      <c r="J970" s="5">
        <v>2728</v>
      </c>
      <c r="K970" s="5">
        <v>4016.25</v>
      </c>
      <c r="L970" s="5">
        <v>1648</v>
      </c>
      <c r="M970" s="5">
        <v>84</v>
      </c>
      <c r="N970" s="5">
        <v>3</v>
      </c>
      <c r="O970" s="5" t="s">
        <v>32</v>
      </c>
      <c r="P970" s="5">
        <v>2134</v>
      </c>
      <c r="Q970" s="5" t="s">
        <v>33</v>
      </c>
      <c r="R970" s="2">
        <v>325316.25</v>
      </c>
      <c r="S970" s="2">
        <v>104348.25</v>
      </c>
      <c r="T970" s="1">
        <v>45680</v>
      </c>
      <c r="U970" s="5">
        <v>1</v>
      </c>
    </row>
    <row r="971" spans="1:21" x14ac:dyDescent="0.3">
      <c r="A971" s="5" t="s">
        <v>1032</v>
      </c>
      <c r="B971" s="1">
        <v>45981</v>
      </c>
      <c r="C971" s="5" t="s">
        <v>42</v>
      </c>
      <c r="D971" s="5" t="s">
        <v>28</v>
      </c>
      <c r="E971" s="5" t="s">
        <v>54</v>
      </c>
      <c r="F971" s="5" t="s">
        <v>55</v>
      </c>
      <c r="G971" s="5" t="s">
        <v>56</v>
      </c>
      <c r="H971" s="5" t="s">
        <v>23</v>
      </c>
      <c r="I971" s="5">
        <v>329</v>
      </c>
      <c r="J971" s="5">
        <v>628</v>
      </c>
      <c r="K971" s="5">
        <v>878.19</v>
      </c>
      <c r="L971" s="5">
        <v>759</v>
      </c>
      <c r="M971" s="5">
        <v>140</v>
      </c>
      <c r="N971" s="5">
        <v>3</v>
      </c>
      <c r="O971" s="5" t="s">
        <v>32</v>
      </c>
      <c r="P971" s="5">
        <v>3903</v>
      </c>
      <c r="Q971" s="5" t="s">
        <v>33</v>
      </c>
      <c r="R971" s="2">
        <v>288924.51</v>
      </c>
      <c r="S971" s="2">
        <v>82312.509999999995</v>
      </c>
      <c r="T971" s="1">
        <v>45981</v>
      </c>
      <c r="U971" s="5">
        <v>11</v>
      </c>
    </row>
    <row r="972" spans="1:21" x14ac:dyDescent="0.3">
      <c r="A972" s="5" t="s">
        <v>1033</v>
      </c>
      <c r="B972" s="1">
        <v>45711</v>
      </c>
      <c r="C972" s="5" t="s">
        <v>27</v>
      </c>
      <c r="D972" s="5" t="s">
        <v>36</v>
      </c>
      <c r="E972" s="5" t="s">
        <v>29</v>
      </c>
      <c r="F972" s="5" t="s">
        <v>30</v>
      </c>
      <c r="G972" s="5" t="s">
        <v>22</v>
      </c>
      <c r="H972" s="5" t="s">
        <v>23</v>
      </c>
      <c r="I972" s="5">
        <v>145</v>
      </c>
      <c r="J972" s="5">
        <v>4317</v>
      </c>
      <c r="K972" s="5">
        <v>6331.24</v>
      </c>
      <c r="L972" s="5">
        <v>640</v>
      </c>
      <c r="M972" s="5">
        <v>92</v>
      </c>
      <c r="N972" s="5">
        <v>3</v>
      </c>
      <c r="O972" s="5" t="s">
        <v>24</v>
      </c>
      <c r="P972" s="5">
        <v>3718</v>
      </c>
      <c r="Q972" s="5" t="s">
        <v>46</v>
      </c>
      <c r="R972" s="2">
        <v>918029.8</v>
      </c>
      <c r="S972" s="2">
        <v>292064.8</v>
      </c>
      <c r="T972" s="1">
        <v>45711</v>
      </c>
      <c r="U972" s="5">
        <v>2</v>
      </c>
    </row>
    <row r="973" spans="1:21" x14ac:dyDescent="0.3">
      <c r="A973" s="5" t="s">
        <v>1034</v>
      </c>
      <c r="B973" s="1">
        <v>45664</v>
      </c>
      <c r="C973" s="5" t="s">
        <v>27</v>
      </c>
      <c r="D973" s="5" t="s">
        <v>28</v>
      </c>
      <c r="E973" s="5" t="s">
        <v>54</v>
      </c>
      <c r="F973" s="5" t="s">
        <v>87</v>
      </c>
      <c r="G973" s="5" t="s">
        <v>38</v>
      </c>
      <c r="H973" s="5" t="s">
        <v>51</v>
      </c>
      <c r="I973" s="5">
        <v>186</v>
      </c>
      <c r="J973" s="5">
        <v>3079</v>
      </c>
      <c r="K973" s="5">
        <v>4304.54</v>
      </c>
      <c r="L973" s="5">
        <v>1376</v>
      </c>
      <c r="M973" s="5">
        <v>103</v>
      </c>
      <c r="N973" s="5">
        <v>6</v>
      </c>
      <c r="O973" s="5" t="s">
        <v>24</v>
      </c>
      <c r="P973" s="5">
        <v>4968</v>
      </c>
      <c r="Q973" s="5" t="s">
        <v>40</v>
      </c>
      <c r="R973" s="2">
        <v>800644.44</v>
      </c>
      <c r="S973" s="2">
        <v>227950.44</v>
      </c>
      <c r="T973" s="1">
        <v>45664</v>
      </c>
      <c r="U973" s="5">
        <v>1</v>
      </c>
    </row>
    <row r="974" spans="1:21" x14ac:dyDescent="0.3">
      <c r="A974" s="5" t="s">
        <v>1035</v>
      </c>
      <c r="B974" s="1">
        <v>45890</v>
      </c>
      <c r="C974" s="5" t="s">
        <v>42</v>
      </c>
      <c r="D974" s="5" t="s">
        <v>19</v>
      </c>
      <c r="E974" s="5" t="s">
        <v>20</v>
      </c>
      <c r="F974" s="5" t="s">
        <v>37</v>
      </c>
      <c r="G974" s="5" t="s">
        <v>31</v>
      </c>
      <c r="H974" s="5" t="s">
        <v>23</v>
      </c>
      <c r="I974" s="5">
        <v>46</v>
      </c>
      <c r="J974" s="5">
        <v>3586</v>
      </c>
      <c r="K974" s="5">
        <v>4845.28</v>
      </c>
      <c r="L974" s="5">
        <v>742</v>
      </c>
      <c r="M974" s="5">
        <v>152</v>
      </c>
      <c r="N974" s="5">
        <v>9</v>
      </c>
      <c r="O974" s="5" t="s">
        <v>24</v>
      </c>
      <c r="P974" s="5">
        <v>6855</v>
      </c>
      <c r="Q974" s="5" t="s">
        <v>25</v>
      </c>
      <c r="R974" s="2">
        <v>222882.88</v>
      </c>
      <c r="S974" s="2">
        <v>57926.879999999997</v>
      </c>
      <c r="T974" s="1">
        <v>45890</v>
      </c>
      <c r="U974" s="5">
        <v>8</v>
      </c>
    </row>
    <row r="975" spans="1:21" x14ac:dyDescent="0.3">
      <c r="A975" s="5" t="s">
        <v>1036</v>
      </c>
      <c r="B975" s="1">
        <v>45742</v>
      </c>
      <c r="C975" s="5" t="s">
        <v>27</v>
      </c>
      <c r="D975" s="5" t="s">
        <v>36</v>
      </c>
      <c r="E975" s="5" t="s">
        <v>29</v>
      </c>
      <c r="F975" s="5" t="s">
        <v>58</v>
      </c>
      <c r="G975" s="5" t="s">
        <v>56</v>
      </c>
      <c r="H975" s="5" t="s">
        <v>51</v>
      </c>
      <c r="I975" s="5">
        <v>426</v>
      </c>
      <c r="J975" s="5">
        <v>1333</v>
      </c>
      <c r="K975" s="5">
        <v>1692.81</v>
      </c>
      <c r="L975" s="5">
        <v>1324</v>
      </c>
      <c r="M975" s="5">
        <v>244</v>
      </c>
      <c r="N975" s="5">
        <v>9</v>
      </c>
      <c r="O975" s="5" t="s">
        <v>24</v>
      </c>
      <c r="P975" s="5">
        <v>7839</v>
      </c>
      <c r="Q975" s="5" t="s">
        <v>40</v>
      </c>
      <c r="R975" s="2">
        <v>721137.06</v>
      </c>
      <c r="S975" s="2">
        <v>153279.06</v>
      </c>
      <c r="T975" s="1">
        <v>45742</v>
      </c>
      <c r="U975" s="5">
        <v>3</v>
      </c>
    </row>
    <row r="976" spans="1:21" x14ac:dyDescent="0.3">
      <c r="A976" s="5" t="s">
        <v>1037</v>
      </c>
      <c r="B976" s="1">
        <v>45698</v>
      </c>
      <c r="C976" s="5" t="s">
        <v>35</v>
      </c>
      <c r="D976" s="5" t="s">
        <v>28</v>
      </c>
      <c r="E976" s="5" t="s">
        <v>54</v>
      </c>
      <c r="F976" s="5" t="s">
        <v>55</v>
      </c>
      <c r="G976" s="5" t="s">
        <v>22</v>
      </c>
      <c r="H976" s="5" t="s">
        <v>39</v>
      </c>
      <c r="I976" s="5">
        <v>180</v>
      </c>
      <c r="J976" s="5">
        <v>723</v>
      </c>
      <c r="K976" s="5">
        <v>835.59</v>
      </c>
      <c r="L976" s="5">
        <v>1139</v>
      </c>
      <c r="M976" s="5">
        <v>121</v>
      </c>
      <c r="N976" s="5">
        <v>9</v>
      </c>
      <c r="O976" s="5" t="s">
        <v>24</v>
      </c>
      <c r="P976" s="5">
        <v>3831</v>
      </c>
      <c r="Q976" s="5" t="s">
        <v>25</v>
      </c>
      <c r="R976" s="2">
        <v>150406.20000000001</v>
      </c>
      <c r="S976" s="2">
        <v>20266.2</v>
      </c>
      <c r="T976" s="1">
        <v>45698</v>
      </c>
      <c r="U976" s="5">
        <v>2</v>
      </c>
    </row>
    <row r="977" spans="1:21" x14ac:dyDescent="0.3">
      <c r="A977" s="5" t="s">
        <v>1038</v>
      </c>
      <c r="B977" s="1">
        <v>45836</v>
      </c>
      <c r="C977" s="5" t="s">
        <v>27</v>
      </c>
      <c r="D977" s="5" t="s">
        <v>53</v>
      </c>
      <c r="E977" s="5" t="s">
        <v>29</v>
      </c>
      <c r="F977" s="5" t="s">
        <v>69</v>
      </c>
      <c r="G977" s="5" t="s">
        <v>22</v>
      </c>
      <c r="H977" s="5" t="s">
        <v>51</v>
      </c>
      <c r="I977" s="5">
        <v>114</v>
      </c>
      <c r="J977" s="5">
        <v>3865</v>
      </c>
      <c r="K977" s="5">
        <v>5372.72</v>
      </c>
      <c r="L977" s="5">
        <v>1600</v>
      </c>
      <c r="M977" s="5">
        <v>112</v>
      </c>
      <c r="N977" s="5">
        <v>9</v>
      </c>
      <c r="O977" s="5" t="s">
        <v>24</v>
      </c>
      <c r="P977" s="5">
        <v>3376</v>
      </c>
      <c r="Q977" s="5" t="s">
        <v>40</v>
      </c>
      <c r="R977" s="2">
        <v>612490.07999999996</v>
      </c>
      <c r="S977" s="2">
        <v>171880.08</v>
      </c>
      <c r="T977" s="1">
        <v>45836</v>
      </c>
      <c r="U977" s="5">
        <v>6</v>
      </c>
    </row>
    <row r="978" spans="1:21" x14ac:dyDescent="0.3">
      <c r="A978" s="5" t="s">
        <v>1039</v>
      </c>
      <c r="B978" s="1">
        <v>45885</v>
      </c>
      <c r="C978" s="5" t="s">
        <v>27</v>
      </c>
      <c r="D978" s="5" t="s">
        <v>53</v>
      </c>
      <c r="E978" s="5" t="s">
        <v>29</v>
      </c>
      <c r="F978" s="5" t="s">
        <v>58</v>
      </c>
      <c r="G978" s="5" t="s">
        <v>38</v>
      </c>
      <c r="H978" s="5" t="s">
        <v>51</v>
      </c>
      <c r="I978" s="5">
        <v>63</v>
      </c>
      <c r="J978" s="5">
        <v>3170</v>
      </c>
      <c r="K978" s="5">
        <v>3734.23</v>
      </c>
      <c r="L978" s="5">
        <v>210</v>
      </c>
      <c r="M978" s="5">
        <v>225</v>
      </c>
      <c r="N978" s="5">
        <v>2</v>
      </c>
      <c r="O978" s="5" t="s">
        <v>32</v>
      </c>
      <c r="P978" s="5">
        <v>3814</v>
      </c>
      <c r="Q978" s="5" t="s">
        <v>33</v>
      </c>
      <c r="R978" s="2">
        <v>235256.49</v>
      </c>
      <c r="S978" s="2">
        <v>35546.49</v>
      </c>
      <c r="T978" s="1">
        <v>45885</v>
      </c>
      <c r="U978" s="5">
        <v>8</v>
      </c>
    </row>
    <row r="979" spans="1:21" x14ac:dyDescent="0.3">
      <c r="A979" s="5" t="s">
        <v>1040</v>
      </c>
      <c r="B979" s="1">
        <v>45906</v>
      </c>
      <c r="C979" s="5" t="s">
        <v>35</v>
      </c>
      <c r="D979" s="5" t="s">
        <v>28</v>
      </c>
      <c r="E979" s="5" t="s">
        <v>29</v>
      </c>
      <c r="F979" s="5" t="s">
        <v>73</v>
      </c>
      <c r="G979" s="5" t="s">
        <v>31</v>
      </c>
      <c r="H979" s="5" t="s">
        <v>23</v>
      </c>
      <c r="I979" s="5">
        <v>338</v>
      </c>
      <c r="J979" s="5">
        <v>399</v>
      </c>
      <c r="K979" s="5">
        <v>565.77</v>
      </c>
      <c r="L979" s="5">
        <v>573</v>
      </c>
      <c r="M979" s="5">
        <v>151</v>
      </c>
      <c r="N979" s="5">
        <v>6</v>
      </c>
      <c r="O979" s="5" t="s">
        <v>24</v>
      </c>
      <c r="P979" s="5">
        <v>7276</v>
      </c>
      <c r="Q979" s="5" t="s">
        <v>25</v>
      </c>
      <c r="R979" s="2">
        <v>191230.26</v>
      </c>
      <c r="S979" s="2">
        <v>56368.26</v>
      </c>
      <c r="T979" s="1">
        <v>45906</v>
      </c>
      <c r="U979" s="5">
        <v>9</v>
      </c>
    </row>
    <row r="980" spans="1:21" x14ac:dyDescent="0.3">
      <c r="A980" s="5" t="s">
        <v>1041</v>
      </c>
      <c r="B980" s="1">
        <v>45699</v>
      </c>
      <c r="C980" s="5" t="s">
        <v>18</v>
      </c>
      <c r="D980" s="5" t="s">
        <v>36</v>
      </c>
      <c r="E980" s="5" t="s">
        <v>29</v>
      </c>
      <c r="F980" s="5" t="s">
        <v>30</v>
      </c>
      <c r="G980" s="5" t="s">
        <v>31</v>
      </c>
      <c r="H980" s="5" t="s">
        <v>51</v>
      </c>
      <c r="I980" s="5">
        <v>347</v>
      </c>
      <c r="J980" s="5">
        <v>3450</v>
      </c>
      <c r="K980" s="5">
        <v>4835.03</v>
      </c>
      <c r="L980" s="5">
        <v>726</v>
      </c>
      <c r="M980" s="5">
        <v>173</v>
      </c>
      <c r="N980" s="5">
        <v>10</v>
      </c>
      <c r="O980" s="5" t="s">
        <v>24</v>
      </c>
      <c r="P980" s="5">
        <v>558</v>
      </c>
      <c r="Q980" s="5" t="s">
        <v>46</v>
      </c>
      <c r="R980" s="2">
        <v>1677755.41</v>
      </c>
      <c r="S980" s="2">
        <v>480605.41</v>
      </c>
      <c r="T980" s="1">
        <v>45699</v>
      </c>
      <c r="U980" s="5">
        <v>2</v>
      </c>
    </row>
    <row r="981" spans="1:21" x14ac:dyDescent="0.3">
      <c r="A981" s="5" t="s">
        <v>1042</v>
      </c>
      <c r="B981" s="1">
        <v>45979</v>
      </c>
      <c r="C981" s="5" t="s">
        <v>27</v>
      </c>
      <c r="D981" s="5" t="s">
        <v>53</v>
      </c>
      <c r="E981" s="5" t="s">
        <v>20</v>
      </c>
      <c r="F981" s="5" t="s">
        <v>45</v>
      </c>
      <c r="G981" s="5" t="s">
        <v>22</v>
      </c>
      <c r="H981" s="5" t="s">
        <v>39</v>
      </c>
      <c r="I981" s="5">
        <v>313</v>
      </c>
      <c r="J981" s="5">
        <v>267</v>
      </c>
      <c r="K981" s="5">
        <v>334.36</v>
      </c>
      <c r="L981" s="5">
        <v>1216</v>
      </c>
      <c r="M981" s="5">
        <v>113</v>
      </c>
      <c r="N981" s="5">
        <v>9</v>
      </c>
      <c r="O981" s="5" t="s">
        <v>24</v>
      </c>
      <c r="P981" s="5">
        <v>4898</v>
      </c>
      <c r="Q981" s="5" t="s">
        <v>33</v>
      </c>
      <c r="R981" s="2">
        <v>104654.68</v>
      </c>
      <c r="S981" s="2">
        <v>21083.68</v>
      </c>
      <c r="T981" s="1">
        <v>45979</v>
      </c>
      <c r="U981" s="5">
        <v>11</v>
      </c>
    </row>
    <row r="982" spans="1:21" x14ac:dyDescent="0.3">
      <c r="A982" s="5" t="s">
        <v>1043</v>
      </c>
      <c r="B982" s="1">
        <v>45727</v>
      </c>
      <c r="C982" s="5" t="s">
        <v>35</v>
      </c>
      <c r="D982" s="5" t="s">
        <v>19</v>
      </c>
      <c r="E982" s="5" t="s">
        <v>49</v>
      </c>
      <c r="F982" s="5" t="s">
        <v>75</v>
      </c>
      <c r="G982" s="5" t="s">
        <v>38</v>
      </c>
      <c r="H982" s="5" t="s">
        <v>39</v>
      </c>
      <c r="I982" s="5">
        <v>120</v>
      </c>
      <c r="J982" s="5">
        <v>703</v>
      </c>
      <c r="K982" s="5">
        <v>944.62</v>
      </c>
      <c r="L982" s="5">
        <v>1503</v>
      </c>
      <c r="M982" s="5">
        <v>178</v>
      </c>
      <c r="N982" s="5">
        <v>2</v>
      </c>
      <c r="O982" s="5" t="s">
        <v>32</v>
      </c>
      <c r="P982" s="5">
        <v>5893</v>
      </c>
      <c r="Q982" s="5" t="s">
        <v>33</v>
      </c>
      <c r="R982" s="2">
        <v>113354.4</v>
      </c>
      <c r="S982" s="2">
        <v>28994.400000000001</v>
      </c>
      <c r="T982" s="1">
        <v>45727</v>
      </c>
      <c r="U982" s="5">
        <v>3</v>
      </c>
    </row>
    <row r="983" spans="1:21" x14ac:dyDescent="0.3">
      <c r="A983" s="5" t="s">
        <v>1044</v>
      </c>
      <c r="B983" s="1">
        <v>45706</v>
      </c>
      <c r="C983" s="5" t="s">
        <v>42</v>
      </c>
      <c r="D983" s="5" t="s">
        <v>28</v>
      </c>
      <c r="E983" s="5" t="s">
        <v>29</v>
      </c>
      <c r="F983" s="5" t="s">
        <v>43</v>
      </c>
      <c r="G983" s="5" t="s">
        <v>31</v>
      </c>
      <c r="H983" s="5" t="s">
        <v>23</v>
      </c>
      <c r="I983" s="5">
        <v>101</v>
      </c>
      <c r="J983" s="5">
        <v>2892</v>
      </c>
      <c r="K983" s="5">
        <v>3757.29</v>
      </c>
      <c r="L983" s="5">
        <v>1230</v>
      </c>
      <c r="M983" s="5">
        <v>163</v>
      </c>
      <c r="N983" s="5">
        <v>7</v>
      </c>
      <c r="O983" s="5" t="s">
        <v>24</v>
      </c>
      <c r="P983" s="5">
        <v>6730</v>
      </c>
      <c r="Q983" s="5" t="s">
        <v>33</v>
      </c>
      <c r="R983" s="2">
        <v>379486.29</v>
      </c>
      <c r="S983" s="2">
        <v>87394.29</v>
      </c>
      <c r="T983" s="1">
        <v>45706</v>
      </c>
      <c r="U983" s="5">
        <v>2</v>
      </c>
    </row>
    <row r="984" spans="1:21" x14ac:dyDescent="0.3">
      <c r="A984" s="5" t="s">
        <v>1045</v>
      </c>
      <c r="B984" s="1">
        <v>45759</v>
      </c>
      <c r="C984" s="5" t="s">
        <v>42</v>
      </c>
      <c r="D984" s="5" t="s">
        <v>53</v>
      </c>
      <c r="E984" s="5" t="s">
        <v>49</v>
      </c>
      <c r="F984" s="5" t="s">
        <v>94</v>
      </c>
      <c r="G984" s="5" t="s">
        <v>31</v>
      </c>
      <c r="H984" s="5" t="s">
        <v>23</v>
      </c>
      <c r="I984" s="5">
        <v>372</v>
      </c>
      <c r="J984" s="5">
        <v>2332</v>
      </c>
      <c r="K984" s="5">
        <v>3125</v>
      </c>
      <c r="L984" s="5">
        <v>1183</v>
      </c>
      <c r="M984" s="5">
        <v>209</v>
      </c>
      <c r="N984" s="5">
        <v>8</v>
      </c>
      <c r="O984" s="5" t="s">
        <v>24</v>
      </c>
      <c r="P984" s="5">
        <v>1458</v>
      </c>
      <c r="Q984" s="5" t="s">
        <v>33</v>
      </c>
      <c r="R984" s="2">
        <v>1162500</v>
      </c>
      <c r="S984" s="2">
        <v>294996</v>
      </c>
      <c r="T984" s="1">
        <v>45759</v>
      </c>
      <c r="U984" s="5">
        <v>4</v>
      </c>
    </row>
    <row r="985" spans="1:21" x14ac:dyDescent="0.3">
      <c r="A985" s="5" t="s">
        <v>1046</v>
      </c>
      <c r="B985" s="1">
        <v>45863</v>
      </c>
      <c r="C985" s="5" t="s">
        <v>27</v>
      </c>
      <c r="D985" s="5" t="s">
        <v>53</v>
      </c>
      <c r="E985" s="5" t="s">
        <v>54</v>
      </c>
      <c r="F985" s="5" t="s">
        <v>87</v>
      </c>
      <c r="G985" s="5" t="s">
        <v>38</v>
      </c>
      <c r="H985" s="5" t="s">
        <v>39</v>
      </c>
      <c r="I985" s="5">
        <v>359</v>
      </c>
      <c r="J985" s="5">
        <v>1480</v>
      </c>
      <c r="K985" s="5">
        <v>2101.61</v>
      </c>
      <c r="L985" s="5">
        <v>837</v>
      </c>
      <c r="M985" s="5">
        <v>260</v>
      </c>
      <c r="N985" s="5">
        <v>4</v>
      </c>
      <c r="O985" s="5" t="s">
        <v>32</v>
      </c>
      <c r="P985" s="5">
        <v>2884</v>
      </c>
      <c r="Q985" s="5" t="s">
        <v>33</v>
      </c>
      <c r="R985" s="2">
        <v>754477.99</v>
      </c>
      <c r="S985" s="2">
        <v>223157.99</v>
      </c>
      <c r="T985" s="1">
        <v>45863</v>
      </c>
      <c r="U985" s="5">
        <v>7</v>
      </c>
    </row>
    <row r="986" spans="1:21" x14ac:dyDescent="0.3">
      <c r="A986" s="5" t="s">
        <v>1047</v>
      </c>
      <c r="B986" s="1">
        <v>45745</v>
      </c>
      <c r="C986" s="5" t="s">
        <v>27</v>
      </c>
      <c r="D986" s="5" t="s">
        <v>19</v>
      </c>
      <c r="E986" s="5" t="s">
        <v>49</v>
      </c>
      <c r="F986" s="5" t="s">
        <v>75</v>
      </c>
      <c r="G986" s="5" t="s">
        <v>38</v>
      </c>
      <c r="H986" s="5" t="s">
        <v>51</v>
      </c>
      <c r="I986" s="5">
        <v>55</v>
      </c>
      <c r="J986" s="5">
        <v>294</v>
      </c>
      <c r="K986" s="5">
        <v>343.52</v>
      </c>
      <c r="L986" s="5">
        <v>449</v>
      </c>
      <c r="M986" s="5">
        <v>201</v>
      </c>
      <c r="N986" s="5">
        <v>6</v>
      </c>
      <c r="O986" s="5" t="s">
        <v>24</v>
      </c>
      <c r="P986" s="5">
        <v>4792</v>
      </c>
      <c r="Q986" s="5" t="s">
        <v>46</v>
      </c>
      <c r="R986" s="2">
        <v>18893.599999999999</v>
      </c>
      <c r="S986" s="2">
        <v>2723.6</v>
      </c>
      <c r="T986" s="1">
        <v>45745</v>
      </c>
      <c r="U986" s="5">
        <v>3</v>
      </c>
    </row>
    <row r="987" spans="1:21" x14ac:dyDescent="0.3">
      <c r="A987" s="5" t="s">
        <v>1048</v>
      </c>
      <c r="B987" s="1">
        <v>45909</v>
      </c>
      <c r="C987" s="5" t="s">
        <v>27</v>
      </c>
      <c r="D987" s="5" t="s">
        <v>19</v>
      </c>
      <c r="E987" s="5" t="s">
        <v>20</v>
      </c>
      <c r="F987" s="5" t="s">
        <v>45</v>
      </c>
      <c r="G987" s="5" t="s">
        <v>31</v>
      </c>
      <c r="H987" s="5" t="s">
        <v>39</v>
      </c>
      <c r="I987" s="5">
        <v>225</v>
      </c>
      <c r="J987" s="5">
        <v>4876</v>
      </c>
      <c r="K987" s="5">
        <v>6331.74</v>
      </c>
      <c r="L987" s="5">
        <v>893</v>
      </c>
      <c r="M987" s="5">
        <v>149</v>
      </c>
      <c r="N987" s="5">
        <v>5</v>
      </c>
      <c r="O987" s="5" t="s">
        <v>32</v>
      </c>
      <c r="P987" s="5">
        <v>721</v>
      </c>
      <c r="Q987" s="5" t="s">
        <v>33</v>
      </c>
      <c r="R987" s="2">
        <v>1424641.5</v>
      </c>
      <c r="S987" s="2">
        <v>327541.5</v>
      </c>
      <c r="T987" s="1">
        <v>45909</v>
      </c>
      <c r="U987" s="5">
        <v>9</v>
      </c>
    </row>
    <row r="988" spans="1:21" x14ac:dyDescent="0.3">
      <c r="A988" s="5" t="s">
        <v>1049</v>
      </c>
      <c r="B988" s="1">
        <v>45879</v>
      </c>
      <c r="C988" s="5" t="s">
        <v>18</v>
      </c>
      <c r="D988" s="5" t="s">
        <v>28</v>
      </c>
      <c r="E988" s="5" t="s">
        <v>20</v>
      </c>
      <c r="F988" s="5" t="s">
        <v>37</v>
      </c>
      <c r="G988" s="5" t="s">
        <v>22</v>
      </c>
      <c r="H988" s="5" t="s">
        <v>51</v>
      </c>
      <c r="I988" s="5">
        <v>51</v>
      </c>
      <c r="J988" s="5">
        <v>2549</v>
      </c>
      <c r="K988" s="5">
        <v>2981.2</v>
      </c>
      <c r="L988" s="5">
        <v>1581</v>
      </c>
      <c r="M988" s="5">
        <v>229</v>
      </c>
      <c r="N988" s="5">
        <v>10</v>
      </c>
      <c r="O988" s="5" t="s">
        <v>24</v>
      </c>
      <c r="P988" s="5">
        <v>7670</v>
      </c>
      <c r="Q988" s="5" t="s">
        <v>40</v>
      </c>
      <c r="R988" s="2">
        <v>152041.20000000001</v>
      </c>
      <c r="S988" s="2">
        <v>22042.2</v>
      </c>
      <c r="T988" s="1">
        <v>45879</v>
      </c>
      <c r="U988" s="5">
        <v>8</v>
      </c>
    </row>
    <row r="989" spans="1:21" x14ac:dyDescent="0.3">
      <c r="A989" s="5" t="s">
        <v>1050</v>
      </c>
      <c r="B989" s="1">
        <v>46001</v>
      </c>
      <c r="C989" s="5" t="s">
        <v>35</v>
      </c>
      <c r="D989" s="5" t="s">
        <v>19</v>
      </c>
      <c r="E989" s="5" t="s">
        <v>54</v>
      </c>
      <c r="F989" s="5" t="s">
        <v>87</v>
      </c>
      <c r="G989" s="5" t="s">
        <v>56</v>
      </c>
      <c r="H989" s="5" t="s">
        <v>51</v>
      </c>
      <c r="I989" s="5">
        <v>90</v>
      </c>
      <c r="J989" s="5">
        <v>3729</v>
      </c>
      <c r="K989" s="5">
        <v>4474.8599999999997</v>
      </c>
      <c r="L989" s="5">
        <v>142</v>
      </c>
      <c r="M989" s="5">
        <v>270</v>
      </c>
      <c r="N989" s="5">
        <v>1</v>
      </c>
      <c r="O989" s="5" t="s">
        <v>32</v>
      </c>
      <c r="P989" s="5">
        <v>2042</v>
      </c>
      <c r="Q989" s="5" t="s">
        <v>33</v>
      </c>
      <c r="R989" s="2">
        <v>402737.4</v>
      </c>
      <c r="S989" s="2">
        <v>67127.399999999994</v>
      </c>
      <c r="T989" s="1">
        <v>46001</v>
      </c>
      <c r="U989" s="5">
        <v>12</v>
      </c>
    </row>
    <row r="990" spans="1:21" x14ac:dyDescent="0.3">
      <c r="A990" s="5" t="s">
        <v>1051</v>
      </c>
      <c r="B990" s="1">
        <v>45846</v>
      </c>
      <c r="C990" s="5" t="s">
        <v>35</v>
      </c>
      <c r="D990" s="5" t="s">
        <v>62</v>
      </c>
      <c r="E990" s="5" t="s">
        <v>49</v>
      </c>
      <c r="F990" s="5" t="s">
        <v>50</v>
      </c>
      <c r="G990" s="5" t="s">
        <v>56</v>
      </c>
      <c r="H990" s="5" t="s">
        <v>23</v>
      </c>
      <c r="I990" s="5">
        <v>58</v>
      </c>
      <c r="J990" s="5">
        <v>462</v>
      </c>
      <c r="K990" s="5">
        <v>606.51</v>
      </c>
      <c r="L990" s="5">
        <v>1081</v>
      </c>
      <c r="M990" s="5">
        <v>282</v>
      </c>
      <c r="N990" s="5">
        <v>8</v>
      </c>
      <c r="O990" s="5" t="s">
        <v>24</v>
      </c>
      <c r="P990" s="5">
        <v>2668</v>
      </c>
      <c r="Q990" s="5" t="s">
        <v>25</v>
      </c>
      <c r="R990" s="2">
        <v>35177.58</v>
      </c>
      <c r="S990" s="2">
        <v>8381.58</v>
      </c>
      <c r="T990" s="1">
        <v>45846</v>
      </c>
      <c r="U990" s="5">
        <v>7</v>
      </c>
    </row>
    <row r="991" spans="1:21" x14ac:dyDescent="0.3">
      <c r="A991" s="5" t="s">
        <v>1052</v>
      </c>
      <c r="B991" s="1">
        <v>45685</v>
      </c>
      <c r="C991" s="5" t="s">
        <v>42</v>
      </c>
      <c r="D991" s="5" t="s">
        <v>62</v>
      </c>
      <c r="E991" s="5" t="s">
        <v>49</v>
      </c>
      <c r="F991" s="5" t="s">
        <v>50</v>
      </c>
      <c r="G991" s="5" t="s">
        <v>56</v>
      </c>
      <c r="H991" s="5" t="s">
        <v>39</v>
      </c>
      <c r="I991" s="5">
        <v>271</v>
      </c>
      <c r="J991" s="5">
        <v>986</v>
      </c>
      <c r="K991" s="5">
        <v>1182.6600000000001</v>
      </c>
      <c r="L991" s="5">
        <v>1667</v>
      </c>
      <c r="M991" s="5">
        <v>114</v>
      </c>
      <c r="N991" s="5">
        <v>7</v>
      </c>
      <c r="O991" s="5" t="s">
        <v>24</v>
      </c>
      <c r="P991" s="5">
        <v>7901</v>
      </c>
      <c r="Q991" s="5" t="s">
        <v>33</v>
      </c>
      <c r="R991" s="2">
        <v>320500.86</v>
      </c>
      <c r="S991" s="2">
        <v>53294.86</v>
      </c>
      <c r="T991" s="1">
        <v>45685</v>
      </c>
      <c r="U991" s="5">
        <v>1</v>
      </c>
    </row>
    <row r="992" spans="1:21" x14ac:dyDescent="0.3">
      <c r="A992" s="5" t="s">
        <v>1053</v>
      </c>
      <c r="B992" s="1">
        <v>45765</v>
      </c>
      <c r="C992" s="5" t="s">
        <v>35</v>
      </c>
      <c r="D992" s="5" t="s">
        <v>53</v>
      </c>
      <c r="E992" s="5" t="s">
        <v>29</v>
      </c>
      <c r="F992" s="5" t="s">
        <v>58</v>
      </c>
      <c r="G992" s="5" t="s">
        <v>31</v>
      </c>
      <c r="H992" s="5" t="s">
        <v>39</v>
      </c>
      <c r="I992" s="5">
        <v>408</v>
      </c>
      <c r="J992" s="5">
        <v>1973</v>
      </c>
      <c r="K992" s="5">
        <v>2314.87</v>
      </c>
      <c r="L992" s="5">
        <v>963</v>
      </c>
      <c r="M992" s="5">
        <v>242</v>
      </c>
      <c r="N992" s="5">
        <v>6</v>
      </c>
      <c r="O992" s="5" t="s">
        <v>24</v>
      </c>
      <c r="P992" s="5">
        <v>4208</v>
      </c>
      <c r="Q992" s="5" t="s">
        <v>33</v>
      </c>
      <c r="R992" s="2">
        <v>944466.96</v>
      </c>
      <c r="S992" s="2">
        <v>139482.96</v>
      </c>
      <c r="T992" s="1">
        <v>45765</v>
      </c>
      <c r="U992" s="5">
        <v>4</v>
      </c>
    </row>
    <row r="993" spans="1:21" x14ac:dyDescent="0.3">
      <c r="A993" s="5" t="s">
        <v>1054</v>
      </c>
      <c r="B993" s="1">
        <v>45766</v>
      </c>
      <c r="C993" s="5" t="s">
        <v>18</v>
      </c>
      <c r="D993" s="5" t="s">
        <v>28</v>
      </c>
      <c r="E993" s="5" t="s">
        <v>29</v>
      </c>
      <c r="F993" s="5" t="s">
        <v>58</v>
      </c>
      <c r="G993" s="5" t="s">
        <v>38</v>
      </c>
      <c r="H993" s="5" t="s">
        <v>51</v>
      </c>
      <c r="I993" s="5">
        <v>57</v>
      </c>
      <c r="J993" s="5">
        <v>983</v>
      </c>
      <c r="K993" s="5">
        <v>1273.94</v>
      </c>
      <c r="L993" s="5">
        <v>229</v>
      </c>
      <c r="M993" s="5">
        <v>251</v>
      </c>
      <c r="N993" s="5">
        <v>6</v>
      </c>
      <c r="O993" s="5" t="s">
        <v>24</v>
      </c>
      <c r="P993" s="5">
        <v>4544</v>
      </c>
      <c r="Q993" s="5" t="s">
        <v>33</v>
      </c>
      <c r="R993" s="2">
        <v>72614.58</v>
      </c>
      <c r="S993" s="2">
        <v>16583.580000000002</v>
      </c>
      <c r="T993" s="1">
        <v>45766</v>
      </c>
      <c r="U993" s="5">
        <v>4</v>
      </c>
    </row>
    <row r="994" spans="1:21" x14ac:dyDescent="0.3">
      <c r="A994" s="5" t="s">
        <v>1055</v>
      </c>
      <c r="B994" s="1">
        <v>45872</v>
      </c>
      <c r="C994" s="5" t="s">
        <v>18</v>
      </c>
      <c r="D994" s="5" t="s">
        <v>19</v>
      </c>
      <c r="E994" s="5" t="s">
        <v>20</v>
      </c>
      <c r="F994" s="5" t="s">
        <v>37</v>
      </c>
      <c r="G994" s="5" t="s">
        <v>56</v>
      </c>
      <c r="H994" s="5" t="s">
        <v>39</v>
      </c>
      <c r="I994" s="5">
        <v>279</v>
      </c>
      <c r="J994" s="5">
        <v>2220</v>
      </c>
      <c r="K994" s="5">
        <v>3249.73</v>
      </c>
      <c r="L994" s="5">
        <v>1373</v>
      </c>
      <c r="M994" s="5">
        <v>272</v>
      </c>
      <c r="N994" s="5">
        <v>8</v>
      </c>
      <c r="O994" s="5" t="s">
        <v>24</v>
      </c>
      <c r="P994" s="5">
        <v>6560</v>
      </c>
      <c r="Q994" s="5" t="s">
        <v>33</v>
      </c>
      <c r="R994" s="2">
        <v>906674.67</v>
      </c>
      <c r="S994" s="2">
        <v>287294.67</v>
      </c>
      <c r="T994" s="1">
        <v>45872</v>
      </c>
      <c r="U994" s="5">
        <v>8</v>
      </c>
    </row>
    <row r="995" spans="1:21" x14ac:dyDescent="0.3">
      <c r="A995" s="5" t="s">
        <v>1056</v>
      </c>
      <c r="B995" s="1">
        <v>45968</v>
      </c>
      <c r="C995" s="5" t="s">
        <v>35</v>
      </c>
      <c r="D995" s="5" t="s">
        <v>28</v>
      </c>
      <c r="E995" s="5" t="s">
        <v>29</v>
      </c>
      <c r="F995" s="5" t="s">
        <v>58</v>
      </c>
      <c r="G995" s="5" t="s">
        <v>56</v>
      </c>
      <c r="H995" s="5" t="s">
        <v>51</v>
      </c>
      <c r="I995" s="5">
        <v>308</v>
      </c>
      <c r="J995" s="5">
        <v>3005</v>
      </c>
      <c r="K995" s="5">
        <v>3581.08</v>
      </c>
      <c r="L995" s="5">
        <v>134</v>
      </c>
      <c r="M995" s="5">
        <v>234</v>
      </c>
      <c r="N995" s="5">
        <v>8</v>
      </c>
      <c r="O995" s="5" t="s">
        <v>24</v>
      </c>
      <c r="P995" s="5">
        <v>3747</v>
      </c>
      <c r="Q995" s="5" t="s">
        <v>25</v>
      </c>
      <c r="R995" s="2">
        <v>1102972.6399999999</v>
      </c>
      <c r="S995" s="2">
        <v>177432.64</v>
      </c>
      <c r="T995" s="1">
        <v>45968</v>
      </c>
      <c r="U995" s="5">
        <v>11</v>
      </c>
    </row>
    <row r="996" spans="1:21" x14ac:dyDescent="0.3">
      <c r="A996" s="5" t="s">
        <v>1057</v>
      </c>
      <c r="B996" s="1">
        <v>45896</v>
      </c>
      <c r="C996" s="5" t="s">
        <v>42</v>
      </c>
      <c r="D996" s="5" t="s">
        <v>53</v>
      </c>
      <c r="E996" s="5" t="s">
        <v>49</v>
      </c>
      <c r="F996" s="5" t="s">
        <v>75</v>
      </c>
      <c r="G996" s="5" t="s">
        <v>56</v>
      </c>
      <c r="H996" s="5" t="s">
        <v>39</v>
      </c>
      <c r="I996" s="5">
        <v>29</v>
      </c>
      <c r="J996" s="5">
        <v>3810</v>
      </c>
      <c r="K996" s="5">
        <v>4415.49</v>
      </c>
      <c r="L996" s="5">
        <v>1574</v>
      </c>
      <c r="M996" s="5">
        <v>161</v>
      </c>
      <c r="N996" s="5">
        <v>7</v>
      </c>
      <c r="O996" s="5" t="s">
        <v>24</v>
      </c>
      <c r="P996" s="5">
        <v>1165</v>
      </c>
      <c r="Q996" s="5" t="s">
        <v>46</v>
      </c>
      <c r="R996" s="2">
        <v>128049.21</v>
      </c>
      <c r="S996" s="2">
        <v>17559.21</v>
      </c>
      <c r="T996" s="1">
        <v>45896</v>
      </c>
      <c r="U996" s="5">
        <v>8</v>
      </c>
    </row>
    <row r="997" spans="1:21" x14ac:dyDescent="0.3">
      <c r="A997" s="5" t="s">
        <v>1058</v>
      </c>
      <c r="B997" s="1">
        <v>45742</v>
      </c>
      <c r="C997" s="5" t="s">
        <v>18</v>
      </c>
      <c r="D997" s="5" t="s">
        <v>62</v>
      </c>
      <c r="E997" s="5" t="s">
        <v>29</v>
      </c>
      <c r="F997" s="5" t="s">
        <v>58</v>
      </c>
      <c r="G997" s="5" t="s">
        <v>31</v>
      </c>
      <c r="H997" s="5" t="s">
        <v>23</v>
      </c>
      <c r="I997" s="5">
        <v>472</v>
      </c>
      <c r="J997" s="5">
        <v>2767</v>
      </c>
      <c r="K997" s="5">
        <v>3796.73</v>
      </c>
      <c r="L997" s="5">
        <v>1663</v>
      </c>
      <c r="M997" s="5">
        <v>220</v>
      </c>
      <c r="N997" s="5">
        <v>8</v>
      </c>
      <c r="O997" s="5" t="s">
        <v>24</v>
      </c>
      <c r="P997" s="5">
        <v>777</v>
      </c>
      <c r="Q997" s="5" t="s">
        <v>46</v>
      </c>
      <c r="R997" s="2">
        <v>1792056.56</v>
      </c>
      <c r="S997" s="2">
        <v>486032.56</v>
      </c>
      <c r="T997" s="1">
        <v>45742</v>
      </c>
      <c r="U997" s="5">
        <v>3</v>
      </c>
    </row>
    <row r="998" spans="1:21" x14ac:dyDescent="0.3">
      <c r="A998" s="5" t="s">
        <v>1059</v>
      </c>
      <c r="B998" s="1">
        <v>46021</v>
      </c>
      <c r="C998" s="5" t="s">
        <v>35</v>
      </c>
      <c r="D998" s="5" t="s">
        <v>28</v>
      </c>
      <c r="E998" s="5" t="s">
        <v>29</v>
      </c>
      <c r="F998" s="5" t="s">
        <v>58</v>
      </c>
      <c r="G998" s="5" t="s">
        <v>38</v>
      </c>
      <c r="H998" s="5" t="s">
        <v>23</v>
      </c>
      <c r="I998" s="5">
        <v>198</v>
      </c>
      <c r="J998" s="5">
        <v>825</v>
      </c>
      <c r="K998" s="5">
        <v>1235.48</v>
      </c>
      <c r="L998" s="5">
        <v>424</v>
      </c>
      <c r="M998" s="5">
        <v>85</v>
      </c>
      <c r="N998" s="5">
        <v>1</v>
      </c>
      <c r="O998" s="5" t="s">
        <v>32</v>
      </c>
      <c r="P998" s="5">
        <v>688</v>
      </c>
      <c r="Q998" s="5" t="s">
        <v>33</v>
      </c>
      <c r="R998" s="2">
        <v>244625.04</v>
      </c>
      <c r="S998" s="2">
        <v>81275.039999999994</v>
      </c>
      <c r="T998" s="1">
        <v>46021</v>
      </c>
      <c r="U998" s="5">
        <v>12</v>
      </c>
    </row>
    <row r="999" spans="1:21" x14ac:dyDescent="0.3">
      <c r="A999" s="5" t="s">
        <v>1060</v>
      </c>
      <c r="B999" s="1">
        <v>45914</v>
      </c>
      <c r="C999" s="5" t="s">
        <v>27</v>
      </c>
      <c r="D999" s="5" t="s">
        <v>53</v>
      </c>
      <c r="E999" s="5" t="s">
        <v>20</v>
      </c>
      <c r="F999" s="5" t="s">
        <v>60</v>
      </c>
      <c r="G999" s="5" t="s">
        <v>31</v>
      </c>
      <c r="H999" s="5" t="s">
        <v>51</v>
      </c>
      <c r="I999" s="5">
        <v>52</v>
      </c>
      <c r="J999" s="5">
        <v>4870</v>
      </c>
      <c r="K999" s="5">
        <v>6251.3</v>
      </c>
      <c r="L999" s="5">
        <v>1404</v>
      </c>
      <c r="M999" s="5">
        <v>261</v>
      </c>
      <c r="N999" s="5">
        <v>7</v>
      </c>
      <c r="O999" s="5" t="s">
        <v>24</v>
      </c>
      <c r="P999" s="5">
        <v>1386</v>
      </c>
      <c r="Q999" s="5" t="s">
        <v>25</v>
      </c>
      <c r="R999" s="2">
        <v>325067.59999999998</v>
      </c>
      <c r="S999" s="2">
        <v>71827.600000000006</v>
      </c>
      <c r="T999" s="1">
        <v>45914</v>
      </c>
      <c r="U999" s="5">
        <v>9</v>
      </c>
    </row>
    <row r="1000" spans="1:21" x14ac:dyDescent="0.3">
      <c r="A1000" s="5" t="s">
        <v>1061</v>
      </c>
      <c r="B1000" s="1">
        <v>46011</v>
      </c>
      <c r="C1000" s="5" t="s">
        <v>42</v>
      </c>
      <c r="D1000" s="5" t="s">
        <v>53</v>
      </c>
      <c r="E1000" s="5" t="s">
        <v>54</v>
      </c>
      <c r="F1000" s="5" t="s">
        <v>63</v>
      </c>
      <c r="G1000" s="5" t="s">
        <v>38</v>
      </c>
      <c r="H1000" s="5" t="s">
        <v>23</v>
      </c>
      <c r="I1000" s="5">
        <v>463</v>
      </c>
      <c r="J1000" s="5">
        <v>4775</v>
      </c>
      <c r="K1000" s="5">
        <v>5572.17</v>
      </c>
      <c r="L1000" s="5">
        <v>909</v>
      </c>
      <c r="M1000" s="5">
        <v>118</v>
      </c>
      <c r="N1000" s="5">
        <v>9</v>
      </c>
      <c r="O1000" s="5" t="s">
        <v>24</v>
      </c>
      <c r="P1000" s="5">
        <v>7497</v>
      </c>
      <c r="Q1000" s="5" t="s">
        <v>46</v>
      </c>
      <c r="R1000" s="2">
        <v>2579914.71</v>
      </c>
      <c r="S1000" s="2">
        <v>369089.71</v>
      </c>
      <c r="T1000" s="1">
        <v>46011</v>
      </c>
      <c r="U1000" s="5">
        <v>12</v>
      </c>
    </row>
    <row r="1001" spans="1:21" x14ac:dyDescent="0.3">
      <c r="A1001" s="5" t="s">
        <v>1062</v>
      </c>
      <c r="B1001" s="1">
        <v>45835</v>
      </c>
      <c r="C1001" s="5" t="s">
        <v>35</v>
      </c>
      <c r="D1001" s="5" t="s">
        <v>62</v>
      </c>
      <c r="E1001" s="5" t="s">
        <v>54</v>
      </c>
      <c r="F1001" s="5" t="s">
        <v>87</v>
      </c>
      <c r="G1001" s="5" t="s">
        <v>38</v>
      </c>
      <c r="H1001" s="5" t="s">
        <v>23</v>
      </c>
      <c r="I1001" s="5">
        <v>174</v>
      </c>
      <c r="J1001" s="5">
        <v>4947</v>
      </c>
      <c r="K1001" s="5">
        <v>7251.57</v>
      </c>
      <c r="L1001" s="5">
        <v>558</v>
      </c>
      <c r="M1001" s="5">
        <v>158</v>
      </c>
      <c r="N1001" s="5">
        <v>8</v>
      </c>
      <c r="O1001" s="5" t="s">
        <v>24</v>
      </c>
      <c r="P1001" s="5">
        <v>4766</v>
      </c>
      <c r="Q1001" s="5" t="s">
        <v>46</v>
      </c>
      <c r="R1001" s="2">
        <v>1261773.18</v>
      </c>
      <c r="S1001" s="2">
        <v>400995.18</v>
      </c>
      <c r="T1001" s="1">
        <v>45835</v>
      </c>
      <c r="U1001" s="5">
        <v>6</v>
      </c>
    </row>
    <row r="1002" spans="1:21" x14ac:dyDescent="0.3">
      <c r="A1002" s="5" t="s">
        <v>1063</v>
      </c>
      <c r="B1002" s="1">
        <v>45979</v>
      </c>
      <c r="C1002" s="5" t="s">
        <v>35</v>
      </c>
      <c r="D1002" s="5" t="s">
        <v>36</v>
      </c>
      <c r="E1002" s="5" t="s">
        <v>29</v>
      </c>
      <c r="F1002" s="5" t="s">
        <v>58</v>
      </c>
      <c r="G1002" s="5" t="s">
        <v>56</v>
      </c>
      <c r="H1002" s="5" t="s">
        <v>39</v>
      </c>
      <c r="I1002" s="5">
        <v>474</v>
      </c>
      <c r="J1002" s="5">
        <v>4294</v>
      </c>
      <c r="K1002" s="5">
        <v>6417.06</v>
      </c>
      <c r="L1002" s="5">
        <v>970</v>
      </c>
      <c r="M1002" s="5">
        <v>144</v>
      </c>
      <c r="N1002" s="5">
        <v>1</v>
      </c>
      <c r="O1002" s="5" t="s">
        <v>32</v>
      </c>
      <c r="P1002" s="5">
        <v>846</v>
      </c>
      <c r="Q1002" s="5" t="s">
        <v>33</v>
      </c>
      <c r="R1002" s="2">
        <v>3041686.44</v>
      </c>
      <c r="S1002" s="2">
        <v>1006330.44</v>
      </c>
      <c r="T1002" s="1">
        <v>45979</v>
      </c>
      <c r="U1002" s="5">
        <v>11</v>
      </c>
    </row>
    <row r="1003" spans="1:21" x14ac:dyDescent="0.3">
      <c r="A1003" s="5" t="s">
        <v>1064</v>
      </c>
      <c r="B1003" s="1">
        <v>45795</v>
      </c>
      <c r="C1003" s="5" t="s">
        <v>18</v>
      </c>
      <c r="D1003" s="5" t="s">
        <v>62</v>
      </c>
      <c r="E1003" s="5" t="s">
        <v>49</v>
      </c>
      <c r="F1003" s="5" t="s">
        <v>75</v>
      </c>
      <c r="G1003" s="5" t="s">
        <v>56</v>
      </c>
      <c r="H1003" s="5" t="s">
        <v>51</v>
      </c>
      <c r="I1003" s="5">
        <v>65</v>
      </c>
      <c r="J1003" s="5">
        <v>3909</v>
      </c>
      <c r="K1003" s="5">
        <v>4678.3999999999996</v>
      </c>
      <c r="L1003" s="5">
        <v>1674</v>
      </c>
      <c r="M1003" s="5">
        <v>207</v>
      </c>
      <c r="N1003" s="5">
        <v>1</v>
      </c>
      <c r="O1003" s="5" t="s">
        <v>32</v>
      </c>
      <c r="P1003" s="5">
        <v>7934</v>
      </c>
      <c r="Q1003" s="5" t="s">
        <v>33</v>
      </c>
      <c r="R1003" s="2">
        <v>304096</v>
      </c>
      <c r="S1003" s="2">
        <v>50011</v>
      </c>
      <c r="T1003" s="1">
        <v>45795</v>
      </c>
      <c r="U1003" s="5">
        <v>5</v>
      </c>
    </row>
    <row r="1004" spans="1:21" x14ac:dyDescent="0.3">
      <c r="A1004" s="5" t="s">
        <v>1065</v>
      </c>
      <c r="B1004" s="1">
        <v>45734</v>
      </c>
      <c r="C1004" s="5" t="s">
        <v>18</v>
      </c>
      <c r="D1004" s="5" t="s">
        <v>36</v>
      </c>
      <c r="E1004" s="5" t="s">
        <v>54</v>
      </c>
      <c r="F1004" s="5" t="s">
        <v>55</v>
      </c>
      <c r="G1004" s="5" t="s">
        <v>22</v>
      </c>
      <c r="H1004" s="5" t="s">
        <v>23</v>
      </c>
      <c r="I1004" s="5">
        <v>346</v>
      </c>
      <c r="J1004" s="5">
        <v>4885</v>
      </c>
      <c r="K1004" s="5">
        <v>6921.33</v>
      </c>
      <c r="L1004" s="5">
        <v>201</v>
      </c>
      <c r="M1004" s="5">
        <v>202</v>
      </c>
      <c r="N1004" s="5">
        <v>5</v>
      </c>
      <c r="O1004" s="5" t="s">
        <v>32</v>
      </c>
      <c r="P1004" s="5">
        <v>2963</v>
      </c>
      <c r="Q1004" s="5" t="s">
        <v>33</v>
      </c>
      <c r="R1004" s="2">
        <v>2394780.1800000002</v>
      </c>
      <c r="S1004" s="2">
        <v>704570.18</v>
      </c>
      <c r="T1004" s="1">
        <v>45734</v>
      </c>
      <c r="U1004" s="5">
        <v>3</v>
      </c>
    </row>
    <row r="1005" spans="1:21" x14ac:dyDescent="0.3">
      <c r="A1005" s="5" t="s">
        <v>1066</v>
      </c>
      <c r="B1005" s="1">
        <v>45935</v>
      </c>
      <c r="C1005" s="5" t="s">
        <v>18</v>
      </c>
      <c r="D1005" s="5" t="s">
        <v>28</v>
      </c>
      <c r="E1005" s="5" t="s">
        <v>54</v>
      </c>
      <c r="F1005" s="5" t="s">
        <v>78</v>
      </c>
      <c r="G1005" s="5" t="s">
        <v>22</v>
      </c>
      <c r="H1005" s="5" t="s">
        <v>39</v>
      </c>
      <c r="I1005" s="5">
        <v>15</v>
      </c>
      <c r="J1005" s="5">
        <v>501</v>
      </c>
      <c r="K1005" s="5">
        <v>579.86</v>
      </c>
      <c r="L1005" s="5">
        <v>451</v>
      </c>
      <c r="M1005" s="5">
        <v>264</v>
      </c>
      <c r="N1005" s="5">
        <v>2</v>
      </c>
      <c r="O1005" s="5" t="s">
        <v>32</v>
      </c>
      <c r="P1005" s="5">
        <v>7370</v>
      </c>
      <c r="Q1005" s="5" t="s">
        <v>33</v>
      </c>
      <c r="R1005" s="2">
        <v>8697.9</v>
      </c>
      <c r="S1005" s="2">
        <v>1182.9000000000001</v>
      </c>
      <c r="T1005" s="1">
        <v>45935</v>
      </c>
      <c r="U1005" s="5">
        <v>10</v>
      </c>
    </row>
    <row r="1006" spans="1:21" x14ac:dyDescent="0.3">
      <c r="A1006" s="5" t="s">
        <v>1067</v>
      </c>
      <c r="B1006" s="1">
        <v>45992</v>
      </c>
      <c r="C1006" s="5" t="s">
        <v>27</v>
      </c>
      <c r="D1006" s="5" t="s">
        <v>36</v>
      </c>
      <c r="E1006" s="5" t="s">
        <v>49</v>
      </c>
      <c r="F1006" s="5" t="s">
        <v>75</v>
      </c>
      <c r="G1006" s="5" t="s">
        <v>22</v>
      </c>
      <c r="H1006" s="5" t="s">
        <v>39</v>
      </c>
      <c r="I1006" s="5">
        <v>38</v>
      </c>
      <c r="J1006" s="5">
        <v>2834</v>
      </c>
      <c r="K1006" s="5">
        <v>3754.67</v>
      </c>
      <c r="L1006" s="5">
        <v>987</v>
      </c>
      <c r="M1006" s="5">
        <v>241</v>
      </c>
      <c r="N1006" s="5">
        <v>7</v>
      </c>
      <c r="O1006" s="5" t="s">
        <v>24</v>
      </c>
      <c r="P1006" s="5">
        <v>7787</v>
      </c>
      <c r="Q1006" s="5" t="s">
        <v>40</v>
      </c>
      <c r="R1006" s="2">
        <v>142677.46</v>
      </c>
      <c r="S1006" s="2">
        <v>34985.46</v>
      </c>
      <c r="T1006" s="1">
        <v>45992</v>
      </c>
      <c r="U1006" s="5">
        <v>12</v>
      </c>
    </row>
    <row r="1007" spans="1:21" x14ac:dyDescent="0.3">
      <c r="A1007" s="5" t="s">
        <v>1068</v>
      </c>
      <c r="B1007" s="1">
        <v>45891</v>
      </c>
      <c r="C1007" s="5" t="s">
        <v>18</v>
      </c>
      <c r="D1007" s="5" t="s">
        <v>53</v>
      </c>
      <c r="E1007" s="5" t="s">
        <v>20</v>
      </c>
      <c r="F1007" s="5" t="s">
        <v>45</v>
      </c>
      <c r="G1007" s="5" t="s">
        <v>22</v>
      </c>
      <c r="H1007" s="5" t="s">
        <v>39</v>
      </c>
      <c r="I1007" s="5">
        <v>483</v>
      </c>
      <c r="J1007" s="5">
        <v>2514</v>
      </c>
      <c r="K1007" s="5">
        <v>2902.76</v>
      </c>
      <c r="L1007" s="5">
        <v>1871</v>
      </c>
      <c r="M1007" s="5">
        <v>226</v>
      </c>
      <c r="N1007" s="5">
        <v>3</v>
      </c>
      <c r="O1007" s="5" t="s">
        <v>32</v>
      </c>
      <c r="P1007" s="5">
        <v>4315</v>
      </c>
      <c r="Q1007" s="5" t="s">
        <v>33</v>
      </c>
      <c r="R1007" s="2">
        <v>1402033.08</v>
      </c>
      <c r="S1007" s="2">
        <v>187771.08</v>
      </c>
      <c r="T1007" s="1">
        <v>45891</v>
      </c>
      <c r="U1007" s="5">
        <v>8</v>
      </c>
    </row>
    <row r="1008" spans="1:21" x14ac:dyDescent="0.3">
      <c r="A1008" s="5" t="s">
        <v>1069</v>
      </c>
      <c r="B1008" s="1">
        <v>45737</v>
      </c>
      <c r="C1008" s="5" t="s">
        <v>42</v>
      </c>
      <c r="D1008" s="5" t="s">
        <v>28</v>
      </c>
      <c r="E1008" s="5" t="s">
        <v>20</v>
      </c>
      <c r="F1008" s="5" t="s">
        <v>60</v>
      </c>
      <c r="G1008" s="5" t="s">
        <v>38</v>
      </c>
      <c r="H1008" s="5" t="s">
        <v>51</v>
      </c>
      <c r="I1008" s="5">
        <v>41</v>
      </c>
      <c r="J1008" s="5">
        <v>3314</v>
      </c>
      <c r="K1008" s="5">
        <v>4130.1400000000003</v>
      </c>
      <c r="L1008" s="5">
        <v>392</v>
      </c>
      <c r="M1008" s="5">
        <v>230</v>
      </c>
      <c r="N1008" s="5">
        <v>3</v>
      </c>
      <c r="O1008" s="5" t="s">
        <v>32</v>
      </c>
      <c r="P1008" s="5">
        <v>2895</v>
      </c>
      <c r="Q1008" s="5" t="s">
        <v>33</v>
      </c>
      <c r="R1008" s="2">
        <v>169335.74</v>
      </c>
      <c r="S1008" s="2">
        <v>33461.74</v>
      </c>
      <c r="T1008" s="1">
        <v>45737</v>
      </c>
      <c r="U1008" s="5">
        <v>3</v>
      </c>
    </row>
    <row r="1009" spans="1:21" x14ac:dyDescent="0.3">
      <c r="A1009" s="5" t="s">
        <v>1070</v>
      </c>
      <c r="B1009" s="1">
        <v>45792</v>
      </c>
      <c r="C1009" s="5" t="s">
        <v>18</v>
      </c>
      <c r="D1009" s="5" t="s">
        <v>36</v>
      </c>
      <c r="E1009" s="5" t="s">
        <v>49</v>
      </c>
      <c r="F1009" s="5" t="s">
        <v>50</v>
      </c>
      <c r="G1009" s="5" t="s">
        <v>56</v>
      </c>
      <c r="H1009" s="5" t="s">
        <v>23</v>
      </c>
      <c r="I1009" s="5">
        <v>288</v>
      </c>
      <c r="J1009" s="5">
        <v>293</v>
      </c>
      <c r="K1009" s="5">
        <v>367.1</v>
      </c>
      <c r="L1009" s="5">
        <v>753</v>
      </c>
      <c r="M1009" s="5">
        <v>135</v>
      </c>
      <c r="N1009" s="5">
        <v>5</v>
      </c>
      <c r="O1009" s="5" t="s">
        <v>32</v>
      </c>
      <c r="P1009" s="5">
        <v>7264</v>
      </c>
      <c r="Q1009" s="5" t="s">
        <v>33</v>
      </c>
      <c r="R1009" s="2">
        <v>105724.8</v>
      </c>
      <c r="S1009" s="2">
        <v>21340.799999999999</v>
      </c>
      <c r="T1009" s="1">
        <v>45792</v>
      </c>
      <c r="U1009" s="5">
        <v>5</v>
      </c>
    </row>
    <row r="1010" spans="1:21" x14ac:dyDescent="0.3">
      <c r="A1010" s="5" t="s">
        <v>1071</v>
      </c>
      <c r="B1010" s="1">
        <v>45901</v>
      </c>
      <c r="C1010" s="5" t="s">
        <v>27</v>
      </c>
      <c r="D1010" s="5" t="s">
        <v>28</v>
      </c>
      <c r="E1010" s="5" t="s">
        <v>29</v>
      </c>
      <c r="F1010" s="5" t="s">
        <v>58</v>
      </c>
      <c r="G1010" s="5" t="s">
        <v>38</v>
      </c>
      <c r="H1010" s="5" t="s">
        <v>39</v>
      </c>
      <c r="I1010" s="5">
        <v>196</v>
      </c>
      <c r="J1010" s="5">
        <v>4820</v>
      </c>
      <c r="K1010" s="5">
        <v>6718.29</v>
      </c>
      <c r="L1010" s="5">
        <v>1922</v>
      </c>
      <c r="M1010" s="5">
        <v>238</v>
      </c>
      <c r="N1010" s="5">
        <v>6</v>
      </c>
      <c r="O1010" s="5" t="s">
        <v>24</v>
      </c>
      <c r="P1010" s="5">
        <v>5269</v>
      </c>
      <c r="Q1010" s="5" t="s">
        <v>46</v>
      </c>
      <c r="R1010" s="2">
        <v>1316784.8400000001</v>
      </c>
      <c r="S1010" s="2">
        <v>372064.84</v>
      </c>
      <c r="T1010" s="1">
        <v>45901</v>
      </c>
      <c r="U1010" s="5">
        <v>9</v>
      </c>
    </row>
    <row r="1011" spans="1:21" x14ac:dyDescent="0.3">
      <c r="A1011" s="5" t="s">
        <v>1072</v>
      </c>
      <c r="B1011" s="1">
        <v>46002</v>
      </c>
      <c r="C1011" s="5" t="s">
        <v>18</v>
      </c>
      <c r="D1011" s="5" t="s">
        <v>62</v>
      </c>
      <c r="E1011" s="5" t="s">
        <v>49</v>
      </c>
      <c r="F1011" s="5" t="s">
        <v>65</v>
      </c>
      <c r="G1011" s="5" t="s">
        <v>22</v>
      </c>
      <c r="H1011" s="5" t="s">
        <v>23</v>
      </c>
      <c r="I1011" s="5">
        <v>324</v>
      </c>
      <c r="J1011" s="5">
        <v>3556</v>
      </c>
      <c r="K1011" s="5">
        <v>5235.5600000000004</v>
      </c>
      <c r="L1011" s="5">
        <v>1787</v>
      </c>
      <c r="M1011" s="5">
        <v>276</v>
      </c>
      <c r="N1011" s="5">
        <v>8</v>
      </c>
      <c r="O1011" s="5" t="s">
        <v>24</v>
      </c>
      <c r="P1011" s="5">
        <v>7509</v>
      </c>
      <c r="Q1011" s="5" t="s">
        <v>46</v>
      </c>
      <c r="R1011" s="2">
        <v>1696321.44</v>
      </c>
      <c r="S1011" s="2">
        <v>544177.43999999994</v>
      </c>
      <c r="T1011" s="1">
        <v>46002</v>
      </c>
      <c r="U1011" s="5">
        <v>12</v>
      </c>
    </row>
    <row r="1012" spans="1:21" x14ac:dyDescent="0.3">
      <c r="A1012" s="5" t="s">
        <v>1073</v>
      </c>
      <c r="B1012" s="1">
        <v>45851</v>
      </c>
      <c r="C1012" s="5" t="s">
        <v>27</v>
      </c>
      <c r="D1012" s="5" t="s">
        <v>62</v>
      </c>
      <c r="E1012" s="5" t="s">
        <v>49</v>
      </c>
      <c r="F1012" s="5" t="s">
        <v>65</v>
      </c>
      <c r="G1012" s="5" t="s">
        <v>38</v>
      </c>
      <c r="H1012" s="5" t="s">
        <v>51</v>
      </c>
      <c r="I1012" s="5">
        <v>147</v>
      </c>
      <c r="J1012" s="5">
        <v>4945</v>
      </c>
      <c r="K1012" s="5">
        <v>6247.42</v>
      </c>
      <c r="L1012" s="5">
        <v>722</v>
      </c>
      <c r="M1012" s="5">
        <v>285</v>
      </c>
      <c r="N1012" s="5">
        <v>10</v>
      </c>
      <c r="O1012" s="5" t="s">
        <v>24</v>
      </c>
      <c r="P1012" s="5">
        <v>681</v>
      </c>
      <c r="Q1012" s="5" t="s">
        <v>33</v>
      </c>
      <c r="R1012" s="2">
        <v>918370.74</v>
      </c>
      <c r="S1012" s="2">
        <v>191455.74</v>
      </c>
      <c r="T1012" s="1">
        <v>45851</v>
      </c>
      <c r="U1012" s="5">
        <v>7</v>
      </c>
    </row>
    <row r="1013" spans="1:21" x14ac:dyDescent="0.3">
      <c r="A1013" s="5" t="s">
        <v>1074</v>
      </c>
      <c r="B1013" s="1">
        <v>45668</v>
      </c>
      <c r="C1013" s="5" t="s">
        <v>35</v>
      </c>
      <c r="D1013" s="5" t="s">
        <v>62</v>
      </c>
      <c r="E1013" s="5" t="s">
        <v>29</v>
      </c>
      <c r="F1013" s="5" t="s">
        <v>30</v>
      </c>
      <c r="G1013" s="5" t="s">
        <v>22</v>
      </c>
      <c r="H1013" s="5" t="s">
        <v>39</v>
      </c>
      <c r="I1013" s="5">
        <v>103</v>
      </c>
      <c r="J1013" s="5">
        <v>816</v>
      </c>
      <c r="K1013" s="5">
        <v>1111.0999999999999</v>
      </c>
      <c r="L1013" s="5">
        <v>1283</v>
      </c>
      <c r="M1013" s="5">
        <v>91</v>
      </c>
      <c r="N1013" s="5">
        <v>5</v>
      </c>
      <c r="O1013" s="5" t="s">
        <v>32</v>
      </c>
      <c r="P1013" s="5">
        <v>7986</v>
      </c>
      <c r="Q1013" s="5" t="s">
        <v>33</v>
      </c>
      <c r="R1013" s="2">
        <v>114443.3</v>
      </c>
      <c r="S1013" s="2">
        <v>30395.3</v>
      </c>
      <c r="T1013" s="1">
        <v>45668</v>
      </c>
      <c r="U1013" s="5">
        <v>1</v>
      </c>
    </row>
    <row r="1014" spans="1:21" x14ac:dyDescent="0.3">
      <c r="A1014" s="5" t="s">
        <v>1075</v>
      </c>
      <c r="B1014" s="1">
        <v>45812</v>
      </c>
      <c r="C1014" s="5" t="s">
        <v>42</v>
      </c>
      <c r="D1014" s="5" t="s">
        <v>36</v>
      </c>
      <c r="E1014" s="5" t="s">
        <v>54</v>
      </c>
      <c r="F1014" s="5" t="s">
        <v>87</v>
      </c>
      <c r="G1014" s="5" t="s">
        <v>31</v>
      </c>
      <c r="H1014" s="5" t="s">
        <v>51</v>
      </c>
      <c r="I1014" s="5">
        <v>265</v>
      </c>
      <c r="J1014" s="5">
        <v>1425</v>
      </c>
      <c r="K1014" s="5">
        <v>1662.15</v>
      </c>
      <c r="L1014" s="5">
        <v>804</v>
      </c>
      <c r="M1014" s="5">
        <v>194</v>
      </c>
      <c r="N1014" s="5">
        <v>1</v>
      </c>
      <c r="O1014" s="5" t="s">
        <v>32</v>
      </c>
      <c r="P1014" s="5">
        <v>7711</v>
      </c>
      <c r="Q1014" s="5" t="s">
        <v>33</v>
      </c>
      <c r="R1014" s="2">
        <v>440469.75</v>
      </c>
      <c r="S1014" s="2">
        <v>62844.75</v>
      </c>
      <c r="T1014" s="1">
        <v>45812</v>
      </c>
      <c r="U1014" s="5">
        <v>6</v>
      </c>
    </row>
    <row r="1015" spans="1:21" x14ac:dyDescent="0.3">
      <c r="A1015" s="5" t="s">
        <v>1076</v>
      </c>
      <c r="B1015" s="1">
        <v>46004</v>
      </c>
      <c r="C1015" s="5" t="s">
        <v>35</v>
      </c>
      <c r="D1015" s="5" t="s">
        <v>62</v>
      </c>
      <c r="E1015" s="5" t="s">
        <v>54</v>
      </c>
      <c r="F1015" s="5" t="s">
        <v>55</v>
      </c>
      <c r="G1015" s="5" t="s">
        <v>56</v>
      </c>
      <c r="H1015" s="5" t="s">
        <v>39</v>
      </c>
      <c r="I1015" s="5">
        <v>273</v>
      </c>
      <c r="J1015" s="5">
        <v>164</v>
      </c>
      <c r="K1015" s="5">
        <v>191.15</v>
      </c>
      <c r="L1015" s="5">
        <v>973</v>
      </c>
      <c r="M1015" s="5">
        <v>155</v>
      </c>
      <c r="N1015" s="5">
        <v>9</v>
      </c>
      <c r="O1015" s="5" t="s">
        <v>24</v>
      </c>
      <c r="P1015" s="5">
        <v>5500</v>
      </c>
      <c r="Q1015" s="5" t="s">
        <v>33</v>
      </c>
      <c r="R1015" s="2">
        <v>52183.95</v>
      </c>
      <c r="S1015" s="2">
        <v>7411.95</v>
      </c>
      <c r="T1015" s="1">
        <v>46004</v>
      </c>
      <c r="U1015" s="5">
        <v>12</v>
      </c>
    </row>
    <row r="1016" spans="1:21" x14ac:dyDescent="0.3">
      <c r="A1016" s="5" t="s">
        <v>1077</v>
      </c>
      <c r="B1016" s="1">
        <v>45767</v>
      </c>
      <c r="C1016" s="5" t="s">
        <v>42</v>
      </c>
      <c r="D1016" s="5" t="s">
        <v>36</v>
      </c>
      <c r="E1016" s="5" t="s">
        <v>29</v>
      </c>
      <c r="F1016" s="5" t="s">
        <v>73</v>
      </c>
      <c r="G1016" s="5" t="s">
        <v>31</v>
      </c>
      <c r="H1016" s="5" t="s">
        <v>51</v>
      </c>
      <c r="I1016" s="5">
        <v>206</v>
      </c>
      <c r="J1016" s="5">
        <v>3455</v>
      </c>
      <c r="K1016" s="5">
        <v>4669.4799999999996</v>
      </c>
      <c r="L1016" s="5">
        <v>1077</v>
      </c>
      <c r="M1016" s="5">
        <v>120</v>
      </c>
      <c r="N1016" s="5">
        <v>2</v>
      </c>
      <c r="O1016" s="5" t="s">
        <v>24</v>
      </c>
      <c r="P1016" s="5">
        <v>764</v>
      </c>
      <c r="Q1016" s="5" t="s">
        <v>40</v>
      </c>
      <c r="R1016" s="2">
        <v>961912.88</v>
      </c>
      <c r="S1016" s="2">
        <v>250182.88</v>
      </c>
      <c r="T1016" s="1">
        <v>45767</v>
      </c>
      <c r="U1016" s="5">
        <v>4</v>
      </c>
    </row>
    <row r="1017" spans="1:21" x14ac:dyDescent="0.3">
      <c r="A1017" s="5" t="s">
        <v>1078</v>
      </c>
      <c r="B1017" s="1">
        <v>45751</v>
      </c>
      <c r="C1017" s="5" t="s">
        <v>18</v>
      </c>
      <c r="D1017" s="5" t="s">
        <v>62</v>
      </c>
      <c r="E1017" s="5" t="s">
        <v>49</v>
      </c>
      <c r="F1017" s="5" t="s">
        <v>94</v>
      </c>
      <c r="G1017" s="5" t="s">
        <v>22</v>
      </c>
      <c r="H1017" s="5" t="s">
        <v>51</v>
      </c>
      <c r="I1017" s="5">
        <v>83</v>
      </c>
      <c r="J1017" s="5">
        <v>1682</v>
      </c>
      <c r="K1017" s="5">
        <v>2097.6</v>
      </c>
      <c r="L1017" s="5">
        <v>1182</v>
      </c>
      <c r="M1017" s="5">
        <v>196</v>
      </c>
      <c r="N1017" s="5">
        <v>1</v>
      </c>
      <c r="O1017" s="5" t="s">
        <v>32</v>
      </c>
      <c r="P1017" s="5">
        <v>1665</v>
      </c>
      <c r="Q1017" s="5" t="s">
        <v>33</v>
      </c>
      <c r="R1017" s="2">
        <v>174100.8</v>
      </c>
      <c r="S1017" s="2">
        <v>34494.800000000003</v>
      </c>
      <c r="T1017" s="1">
        <v>45751</v>
      </c>
      <c r="U1017" s="5">
        <v>4</v>
      </c>
    </row>
    <row r="1018" spans="1:21" x14ac:dyDescent="0.3">
      <c r="A1018" s="5" t="s">
        <v>1079</v>
      </c>
      <c r="B1018" s="1">
        <v>45658</v>
      </c>
      <c r="C1018" s="5" t="s">
        <v>42</v>
      </c>
      <c r="D1018" s="5" t="s">
        <v>19</v>
      </c>
      <c r="E1018" s="5" t="s">
        <v>54</v>
      </c>
      <c r="F1018" s="5" t="s">
        <v>87</v>
      </c>
      <c r="G1018" s="5" t="s">
        <v>38</v>
      </c>
      <c r="H1018" s="5" t="s">
        <v>39</v>
      </c>
      <c r="I1018" s="5">
        <v>311</v>
      </c>
      <c r="J1018" s="5">
        <v>3714</v>
      </c>
      <c r="K1018" s="5">
        <v>4793.75</v>
      </c>
      <c r="L1018" s="5">
        <v>1049</v>
      </c>
      <c r="M1018" s="5">
        <v>173</v>
      </c>
      <c r="N1018" s="5">
        <v>10</v>
      </c>
      <c r="O1018" s="5" t="s">
        <v>24</v>
      </c>
      <c r="P1018" s="5">
        <v>2390</v>
      </c>
      <c r="Q1018" s="5" t="s">
        <v>46</v>
      </c>
      <c r="R1018" s="2">
        <v>1490856.25</v>
      </c>
      <c r="S1018" s="2">
        <v>335802.25</v>
      </c>
      <c r="T1018" s="1">
        <v>45658</v>
      </c>
      <c r="U1018" s="5">
        <v>1</v>
      </c>
    </row>
    <row r="1019" spans="1:21" x14ac:dyDescent="0.3">
      <c r="A1019" s="5" t="s">
        <v>1080</v>
      </c>
      <c r="B1019" s="1">
        <v>45878</v>
      </c>
      <c r="C1019" s="5" t="s">
        <v>18</v>
      </c>
      <c r="D1019" s="5" t="s">
        <v>62</v>
      </c>
      <c r="E1019" s="5" t="s">
        <v>54</v>
      </c>
      <c r="F1019" s="5" t="s">
        <v>55</v>
      </c>
      <c r="G1019" s="5" t="s">
        <v>31</v>
      </c>
      <c r="H1019" s="5" t="s">
        <v>23</v>
      </c>
      <c r="I1019" s="5">
        <v>425</v>
      </c>
      <c r="J1019" s="5">
        <v>4966</v>
      </c>
      <c r="K1019" s="5">
        <v>6583.04</v>
      </c>
      <c r="L1019" s="5">
        <v>1801</v>
      </c>
      <c r="M1019" s="5">
        <v>144</v>
      </c>
      <c r="N1019" s="5">
        <v>8</v>
      </c>
      <c r="O1019" s="5" t="s">
        <v>24</v>
      </c>
      <c r="P1019" s="5">
        <v>6287</v>
      </c>
      <c r="Q1019" s="5" t="s">
        <v>33</v>
      </c>
      <c r="R1019" s="2">
        <v>2797792</v>
      </c>
      <c r="S1019" s="2">
        <v>687242</v>
      </c>
      <c r="T1019" s="1">
        <v>45878</v>
      </c>
      <c r="U1019" s="5">
        <v>8</v>
      </c>
    </row>
    <row r="1020" spans="1:21" x14ac:dyDescent="0.3">
      <c r="A1020" s="5" t="s">
        <v>1081</v>
      </c>
      <c r="B1020" s="1">
        <v>45898</v>
      </c>
      <c r="C1020" s="5" t="s">
        <v>35</v>
      </c>
      <c r="D1020" s="5" t="s">
        <v>36</v>
      </c>
      <c r="E1020" s="5" t="s">
        <v>29</v>
      </c>
      <c r="F1020" s="5" t="s">
        <v>69</v>
      </c>
      <c r="G1020" s="5" t="s">
        <v>31</v>
      </c>
      <c r="H1020" s="5" t="s">
        <v>23</v>
      </c>
      <c r="I1020" s="5">
        <v>327</v>
      </c>
      <c r="J1020" s="5">
        <v>1670</v>
      </c>
      <c r="K1020" s="5">
        <v>2111</v>
      </c>
      <c r="L1020" s="5">
        <v>1991</v>
      </c>
      <c r="M1020" s="5">
        <v>114</v>
      </c>
      <c r="N1020" s="5">
        <v>1</v>
      </c>
      <c r="O1020" s="5" t="s">
        <v>32</v>
      </c>
      <c r="P1020" s="5">
        <v>2291</v>
      </c>
      <c r="Q1020" s="5" t="s">
        <v>33</v>
      </c>
      <c r="R1020" s="2">
        <v>690297</v>
      </c>
      <c r="S1020" s="2">
        <v>144207</v>
      </c>
      <c r="T1020" s="1">
        <v>45898</v>
      </c>
      <c r="U1020" s="5">
        <v>8</v>
      </c>
    </row>
    <row r="1021" spans="1:21" x14ac:dyDescent="0.3">
      <c r="A1021" s="5" t="s">
        <v>1082</v>
      </c>
      <c r="B1021" s="1">
        <v>46003</v>
      </c>
      <c r="C1021" s="5" t="s">
        <v>27</v>
      </c>
      <c r="D1021" s="5" t="s">
        <v>19</v>
      </c>
      <c r="E1021" s="5" t="s">
        <v>29</v>
      </c>
      <c r="F1021" s="5" t="s">
        <v>73</v>
      </c>
      <c r="G1021" s="5" t="s">
        <v>38</v>
      </c>
      <c r="H1021" s="5" t="s">
        <v>23</v>
      </c>
      <c r="I1021" s="5">
        <v>358</v>
      </c>
      <c r="J1021" s="5">
        <v>3113</v>
      </c>
      <c r="K1021" s="5">
        <v>4448.3900000000003</v>
      </c>
      <c r="L1021" s="5">
        <v>1539</v>
      </c>
      <c r="M1021" s="5">
        <v>256</v>
      </c>
      <c r="N1021" s="5">
        <v>6</v>
      </c>
      <c r="O1021" s="5" t="s">
        <v>24</v>
      </c>
      <c r="P1021" s="5">
        <v>518</v>
      </c>
      <c r="Q1021" s="5" t="s">
        <v>33</v>
      </c>
      <c r="R1021" s="2">
        <v>1592523.62</v>
      </c>
      <c r="S1021" s="2">
        <v>478069.62</v>
      </c>
      <c r="T1021" s="1">
        <v>46003</v>
      </c>
      <c r="U1021" s="5">
        <v>12</v>
      </c>
    </row>
    <row r="1022" spans="1:21" x14ac:dyDescent="0.3">
      <c r="A1022" s="5" t="s">
        <v>1083</v>
      </c>
      <c r="B1022" s="1">
        <v>45924</v>
      </c>
      <c r="C1022" s="5" t="s">
        <v>42</v>
      </c>
      <c r="D1022" s="5" t="s">
        <v>19</v>
      </c>
      <c r="E1022" s="5" t="s">
        <v>54</v>
      </c>
      <c r="F1022" s="5" t="s">
        <v>78</v>
      </c>
      <c r="G1022" s="5" t="s">
        <v>31</v>
      </c>
      <c r="H1022" s="5" t="s">
        <v>23</v>
      </c>
      <c r="I1022" s="5">
        <v>444</v>
      </c>
      <c r="J1022" s="5">
        <v>4287</v>
      </c>
      <c r="K1022" s="5">
        <v>5843.02</v>
      </c>
      <c r="L1022" s="5">
        <v>1069</v>
      </c>
      <c r="M1022" s="5">
        <v>80</v>
      </c>
      <c r="N1022" s="5">
        <v>6</v>
      </c>
      <c r="O1022" s="5" t="s">
        <v>24</v>
      </c>
      <c r="P1022" s="5">
        <v>2764</v>
      </c>
      <c r="Q1022" s="5" t="s">
        <v>40</v>
      </c>
      <c r="R1022" s="2">
        <v>2594300.88</v>
      </c>
      <c r="S1022" s="2">
        <v>690872.88</v>
      </c>
      <c r="T1022" s="1">
        <v>45924</v>
      </c>
      <c r="U1022" s="5">
        <v>9</v>
      </c>
    </row>
    <row r="1023" spans="1:21" x14ac:dyDescent="0.3">
      <c r="A1023" s="5" t="s">
        <v>1084</v>
      </c>
      <c r="B1023" s="1">
        <v>45965</v>
      </c>
      <c r="C1023" s="5" t="s">
        <v>18</v>
      </c>
      <c r="D1023" s="5" t="s">
        <v>19</v>
      </c>
      <c r="E1023" s="5" t="s">
        <v>20</v>
      </c>
      <c r="F1023" s="5" t="s">
        <v>45</v>
      </c>
      <c r="G1023" s="5" t="s">
        <v>22</v>
      </c>
      <c r="H1023" s="5" t="s">
        <v>39</v>
      </c>
      <c r="I1023" s="5">
        <v>110</v>
      </c>
      <c r="J1023" s="5">
        <v>2738</v>
      </c>
      <c r="K1023" s="5">
        <v>3638.6</v>
      </c>
      <c r="L1023" s="5">
        <v>545</v>
      </c>
      <c r="M1023" s="5">
        <v>288</v>
      </c>
      <c r="N1023" s="5">
        <v>5</v>
      </c>
      <c r="O1023" s="5" t="s">
        <v>32</v>
      </c>
      <c r="P1023" s="5">
        <v>6850</v>
      </c>
      <c r="Q1023" s="5" t="s">
        <v>33</v>
      </c>
      <c r="R1023" s="2">
        <v>400246</v>
      </c>
      <c r="S1023" s="2">
        <v>99066</v>
      </c>
      <c r="T1023" s="1">
        <v>45965</v>
      </c>
      <c r="U1023" s="5">
        <v>11</v>
      </c>
    </row>
    <row r="1024" spans="1:21" x14ac:dyDescent="0.3">
      <c r="A1024" s="5" t="s">
        <v>1085</v>
      </c>
      <c r="B1024" s="1">
        <v>45821</v>
      </c>
      <c r="C1024" s="5" t="s">
        <v>42</v>
      </c>
      <c r="D1024" s="5" t="s">
        <v>62</v>
      </c>
      <c r="E1024" s="5" t="s">
        <v>49</v>
      </c>
      <c r="F1024" s="5" t="s">
        <v>75</v>
      </c>
      <c r="G1024" s="5" t="s">
        <v>56</v>
      </c>
      <c r="H1024" s="5" t="s">
        <v>39</v>
      </c>
      <c r="I1024" s="5">
        <v>376</v>
      </c>
      <c r="J1024" s="5">
        <v>4215</v>
      </c>
      <c r="K1024" s="5">
        <v>5707.19</v>
      </c>
      <c r="L1024" s="5">
        <v>993</v>
      </c>
      <c r="M1024" s="5">
        <v>218</v>
      </c>
      <c r="N1024" s="5">
        <v>7</v>
      </c>
      <c r="O1024" s="5" t="s">
        <v>24</v>
      </c>
      <c r="P1024" s="5">
        <v>6848</v>
      </c>
      <c r="Q1024" s="5" t="s">
        <v>46</v>
      </c>
      <c r="R1024" s="2">
        <v>2145903.44</v>
      </c>
      <c r="S1024" s="2">
        <v>561063.43999999994</v>
      </c>
      <c r="T1024" s="1">
        <v>45821</v>
      </c>
      <c r="U1024" s="5">
        <v>6</v>
      </c>
    </row>
    <row r="1025" spans="1:21" x14ac:dyDescent="0.3">
      <c r="A1025" s="5" t="s">
        <v>1086</v>
      </c>
      <c r="B1025" s="1">
        <v>45881</v>
      </c>
      <c r="C1025" s="5" t="s">
        <v>42</v>
      </c>
      <c r="D1025" s="5" t="s">
        <v>28</v>
      </c>
      <c r="E1025" s="5" t="s">
        <v>49</v>
      </c>
      <c r="F1025" s="5" t="s">
        <v>50</v>
      </c>
      <c r="G1025" s="5" t="s">
        <v>38</v>
      </c>
      <c r="H1025" s="5" t="s">
        <v>39</v>
      </c>
      <c r="I1025" s="5">
        <v>36</v>
      </c>
      <c r="J1025" s="5">
        <v>2114</v>
      </c>
      <c r="K1025" s="5">
        <v>2909.23</v>
      </c>
      <c r="L1025" s="5">
        <v>1244</v>
      </c>
      <c r="M1025" s="5">
        <v>258</v>
      </c>
      <c r="N1025" s="5">
        <v>7</v>
      </c>
      <c r="O1025" s="5" t="s">
        <v>24</v>
      </c>
      <c r="P1025" s="5">
        <v>6185</v>
      </c>
      <c r="Q1025" s="5" t="s">
        <v>40</v>
      </c>
      <c r="R1025" s="2">
        <v>104732.28</v>
      </c>
      <c r="S1025" s="2">
        <v>28628.28</v>
      </c>
      <c r="T1025" s="1">
        <v>45881</v>
      </c>
      <c r="U1025" s="5">
        <v>8</v>
      </c>
    </row>
    <row r="1026" spans="1:21" x14ac:dyDescent="0.3">
      <c r="A1026" s="5" t="s">
        <v>1087</v>
      </c>
      <c r="B1026" s="1">
        <v>45785</v>
      </c>
      <c r="C1026" s="5" t="s">
        <v>35</v>
      </c>
      <c r="D1026" s="5" t="s">
        <v>62</v>
      </c>
      <c r="E1026" s="5" t="s">
        <v>54</v>
      </c>
      <c r="F1026" s="5" t="s">
        <v>63</v>
      </c>
      <c r="G1026" s="5" t="s">
        <v>31</v>
      </c>
      <c r="H1026" s="5" t="s">
        <v>39</v>
      </c>
      <c r="I1026" s="5">
        <v>148</v>
      </c>
      <c r="J1026" s="5">
        <v>1431</v>
      </c>
      <c r="K1026" s="5">
        <v>2093.46</v>
      </c>
      <c r="L1026" s="5">
        <v>604</v>
      </c>
      <c r="M1026" s="5">
        <v>156</v>
      </c>
      <c r="N1026" s="5">
        <v>7</v>
      </c>
      <c r="O1026" s="5" t="s">
        <v>24</v>
      </c>
      <c r="P1026" s="5">
        <v>3418</v>
      </c>
      <c r="Q1026" s="5" t="s">
        <v>33</v>
      </c>
      <c r="R1026" s="2">
        <v>309832.08</v>
      </c>
      <c r="S1026" s="2">
        <v>98044.08</v>
      </c>
      <c r="T1026" s="1">
        <v>45785</v>
      </c>
      <c r="U1026" s="5">
        <v>5</v>
      </c>
    </row>
    <row r="1027" spans="1:21" x14ac:dyDescent="0.3">
      <c r="A1027" s="5" t="s">
        <v>1088</v>
      </c>
      <c r="B1027" s="1">
        <v>45915</v>
      </c>
      <c r="C1027" s="5" t="s">
        <v>18</v>
      </c>
      <c r="D1027" s="5" t="s">
        <v>62</v>
      </c>
      <c r="E1027" s="5" t="s">
        <v>54</v>
      </c>
      <c r="F1027" s="5" t="s">
        <v>81</v>
      </c>
      <c r="G1027" s="5" t="s">
        <v>31</v>
      </c>
      <c r="H1027" s="5" t="s">
        <v>39</v>
      </c>
      <c r="I1027" s="5">
        <v>441</v>
      </c>
      <c r="J1027" s="5">
        <v>2529</v>
      </c>
      <c r="K1027" s="5">
        <v>3660.34</v>
      </c>
      <c r="L1027" s="5">
        <v>326</v>
      </c>
      <c r="M1027" s="5">
        <v>295</v>
      </c>
      <c r="N1027" s="5">
        <v>10</v>
      </c>
      <c r="O1027" s="5" t="s">
        <v>24</v>
      </c>
      <c r="P1027" s="5">
        <v>2751</v>
      </c>
      <c r="Q1027" s="5" t="s">
        <v>33</v>
      </c>
      <c r="R1027" s="2">
        <v>1614209.94</v>
      </c>
      <c r="S1027" s="2">
        <v>498920.94</v>
      </c>
      <c r="T1027" s="1">
        <v>45915</v>
      </c>
      <c r="U1027" s="5">
        <v>9</v>
      </c>
    </row>
    <row r="1028" spans="1:21" x14ac:dyDescent="0.3">
      <c r="A1028" s="5" t="s">
        <v>1089</v>
      </c>
      <c r="B1028" s="1">
        <v>45845</v>
      </c>
      <c r="C1028" s="5" t="s">
        <v>18</v>
      </c>
      <c r="D1028" s="5" t="s">
        <v>19</v>
      </c>
      <c r="E1028" s="5" t="s">
        <v>20</v>
      </c>
      <c r="F1028" s="5" t="s">
        <v>37</v>
      </c>
      <c r="G1028" s="5" t="s">
        <v>38</v>
      </c>
      <c r="H1028" s="5" t="s">
        <v>23</v>
      </c>
      <c r="I1028" s="5">
        <v>430</v>
      </c>
      <c r="J1028" s="5">
        <v>4650</v>
      </c>
      <c r="K1028" s="5">
        <v>5466.11</v>
      </c>
      <c r="L1028" s="5">
        <v>1884</v>
      </c>
      <c r="M1028" s="5">
        <v>191</v>
      </c>
      <c r="N1028" s="5">
        <v>6</v>
      </c>
      <c r="O1028" s="5" t="s">
        <v>24</v>
      </c>
      <c r="P1028" s="5">
        <v>551</v>
      </c>
      <c r="Q1028" s="5" t="s">
        <v>46</v>
      </c>
      <c r="R1028" s="2">
        <v>2350427.2999999998</v>
      </c>
      <c r="S1028" s="2">
        <v>350927.3</v>
      </c>
      <c r="T1028" s="1">
        <v>45845</v>
      </c>
      <c r="U1028" s="5">
        <v>7</v>
      </c>
    </row>
    <row r="1029" spans="1:21" x14ac:dyDescent="0.3">
      <c r="A1029" s="5" t="s">
        <v>1090</v>
      </c>
      <c r="B1029" s="1">
        <v>45718</v>
      </c>
      <c r="C1029" s="5" t="s">
        <v>18</v>
      </c>
      <c r="D1029" s="5" t="s">
        <v>62</v>
      </c>
      <c r="E1029" s="5" t="s">
        <v>49</v>
      </c>
      <c r="F1029" s="5" t="s">
        <v>94</v>
      </c>
      <c r="G1029" s="5" t="s">
        <v>56</v>
      </c>
      <c r="H1029" s="5" t="s">
        <v>39</v>
      </c>
      <c r="I1029" s="5">
        <v>12</v>
      </c>
      <c r="J1029" s="5">
        <v>2645</v>
      </c>
      <c r="K1029" s="5">
        <v>3305.57</v>
      </c>
      <c r="L1029" s="5">
        <v>1257</v>
      </c>
      <c r="M1029" s="5">
        <v>189</v>
      </c>
      <c r="N1029" s="5">
        <v>9</v>
      </c>
      <c r="O1029" s="5" t="s">
        <v>24</v>
      </c>
      <c r="P1029" s="5">
        <v>1857</v>
      </c>
      <c r="Q1029" s="5" t="s">
        <v>46</v>
      </c>
      <c r="R1029" s="2">
        <v>39666.839999999997</v>
      </c>
      <c r="S1029" s="2">
        <v>7926.84</v>
      </c>
      <c r="T1029" s="1">
        <v>45718</v>
      </c>
      <c r="U1029" s="5">
        <v>3</v>
      </c>
    </row>
    <row r="1030" spans="1:21" x14ac:dyDescent="0.3">
      <c r="A1030" s="5" t="s">
        <v>1091</v>
      </c>
      <c r="B1030" s="1">
        <v>45709</v>
      </c>
      <c r="C1030" s="5" t="s">
        <v>35</v>
      </c>
      <c r="D1030" s="5" t="s">
        <v>19</v>
      </c>
      <c r="E1030" s="5" t="s">
        <v>49</v>
      </c>
      <c r="F1030" s="5" t="s">
        <v>65</v>
      </c>
      <c r="G1030" s="5" t="s">
        <v>31</v>
      </c>
      <c r="H1030" s="5" t="s">
        <v>23</v>
      </c>
      <c r="I1030" s="5">
        <v>149</v>
      </c>
      <c r="J1030" s="5">
        <v>3309</v>
      </c>
      <c r="K1030" s="5">
        <v>3887.74</v>
      </c>
      <c r="L1030" s="5">
        <v>278</v>
      </c>
      <c r="M1030" s="5">
        <v>296</v>
      </c>
      <c r="N1030" s="5">
        <v>3</v>
      </c>
      <c r="O1030" s="5" t="s">
        <v>32</v>
      </c>
      <c r="P1030" s="5">
        <v>3196</v>
      </c>
      <c r="Q1030" s="5" t="s">
        <v>33</v>
      </c>
      <c r="R1030" s="2">
        <v>579273.26</v>
      </c>
      <c r="S1030" s="2">
        <v>86232.26</v>
      </c>
      <c r="T1030" s="1">
        <v>45709</v>
      </c>
      <c r="U1030" s="5">
        <v>2</v>
      </c>
    </row>
    <row r="1031" spans="1:21" x14ac:dyDescent="0.3">
      <c r="A1031" s="5" t="s">
        <v>1092</v>
      </c>
      <c r="B1031" s="1">
        <v>45915</v>
      </c>
      <c r="C1031" s="5" t="s">
        <v>42</v>
      </c>
      <c r="D1031" s="5" t="s">
        <v>36</v>
      </c>
      <c r="E1031" s="5" t="s">
        <v>29</v>
      </c>
      <c r="F1031" s="5" t="s">
        <v>58</v>
      </c>
      <c r="G1031" s="5" t="s">
        <v>22</v>
      </c>
      <c r="H1031" s="5" t="s">
        <v>23</v>
      </c>
      <c r="I1031" s="5">
        <v>48</v>
      </c>
      <c r="J1031" s="5">
        <v>2076</v>
      </c>
      <c r="K1031" s="5">
        <v>3102.91</v>
      </c>
      <c r="L1031" s="5">
        <v>329</v>
      </c>
      <c r="M1031" s="5">
        <v>266</v>
      </c>
      <c r="N1031" s="5">
        <v>7</v>
      </c>
      <c r="O1031" s="5" t="s">
        <v>24</v>
      </c>
      <c r="P1031" s="5">
        <v>841</v>
      </c>
      <c r="Q1031" s="5" t="s">
        <v>40</v>
      </c>
      <c r="R1031" s="2">
        <v>148939.68</v>
      </c>
      <c r="S1031" s="2">
        <v>49291.68</v>
      </c>
      <c r="T1031" s="1">
        <v>45915</v>
      </c>
      <c r="U1031" s="5">
        <v>9</v>
      </c>
    </row>
    <row r="1032" spans="1:21" x14ac:dyDescent="0.3">
      <c r="A1032" s="5" t="s">
        <v>1093</v>
      </c>
      <c r="B1032" s="1">
        <v>45736</v>
      </c>
      <c r="C1032" s="5" t="s">
        <v>18</v>
      </c>
      <c r="D1032" s="5" t="s">
        <v>62</v>
      </c>
      <c r="E1032" s="5" t="s">
        <v>54</v>
      </c>
      <c r="F1032" s="5" t="s">
        <v>78</v>
      </c>
      <c r="G1032" s="5" t="s">
        <v>38</v>
      </c>
      <c r="H1032" s="5" t="s">
        <v>51</v>
      </c>
      <c r="I1032" s="5">
        <v>44</v>
      </c>
      <c r="J1032" s="5">
        <v>4615</v>
      </c>
      <c r="K1032" s="5">
        <v>6676.23</v>
      </c>
      <c r="L1032" s="5">
        <v>1073</v>
      </c>
      <c r="M1032" s="5">
        <v>175</v>
      </c>
      <c r="N1032" s="5">
        <v>9</v>
      </c>
      <c r="O1032" s="5" t="s">
        <v>24</v>
      </c>
      <c r="P1032" s="5">
        <v>7877</v>
      </c>
      <c r="Q1032" s="5" t="s">
        <v>33</v>
      </c>
      <c r="R1032" s="2">
        <v>293754.12</v>
      </c>
      <c r="S1032" s="2">
        <v>90694.12</v>
      </c>
      <c r="T1032" s="1">
        <v>45736</v>
      </c>
      <c r="U1032" s="5">
        <v>3</v>
      </c>
    </row>
    <row r="1033" spans="1:21" x14ac:dyDescent="0.3">
      <c r="A1033" s="5" t="s">
        <v>1094</v>
      </c>
      <c r="B1033" s="1">
        <v>45858</v>
      </c>
      <c r="C1033" s="5" t="s">
        <v>35</v>
      </c>
      <c r="D1033" s="5" t="s">
        <v>19</v>
      </c>
      <c r="E1033" s="5" t="s">
        <v>49</v>
      </c>
      <c r="F1033" s="5" t="s">
        <v>50</v>
      </c>
      <c r="G1033" s="5" t="s">
        <v>38</v>
      </c>
      <c r="H1033" s="5" t="s">
        <v>23</v>
      </c>
      <c r="I1033" s="5">
        <v>186</v>
      </c>
      <c r="J1033" s="5">
        <v>833</v>
      </c>
      <c r="K1033" s="5">
        <v>1067.51</v>
      </c>
      <c r="L1033" s="5">
        <v>724</v>
      </c>
      <c r="M1033" s="5">
        <v>168</v>
      </c>
      <c r="N1033" s="5">
        <v>9</v>
      </c>
      <c r="O1033" s="5" t="s">
        <v>24</v>
      </c>
      <c r="P1033" s="5">
        <v>4441</v>
      </c>
      <c r="Q1033" s="5" t="s">
        <v>46</v>
      </c>
      <c r="R1033" s="2">
        <v>198556.86</v>
      </c>
      <c r="S1033" s="2">
        <v>43618.86</v>
      </c>
      <c r="T1033" s="1">
        <v>45858</v>
      </c>
      <c r="U1033" s="5">
        <v>7</v>
      </c>
    </row>
    <row r="1034" spans="1:21" x14ac:dyDescent="0.3">
      <c r="A1034" s="5" t="s">
        <v>1095</v>
      </c>
      <c r="B1034" s="1">
        <v>45891</v>
      </c>
      <c r="C1034" s="5" t="s">
        <v>27</v>
      </c>
      <c r="D1034" s="5" t="s">
        <v>36</v>
      </c>
      <c r="E1034" s="5" t="s">
        <v>29</v>
      </c>
      <c r="F1034" s="5" t="s">
        <v>73</v>
      </c>
      <c r="G1034" s="5" t="s">
        <v>22</v>
      </c>
      <c r="H1034" s="5" t="s">
        <v>39</v>
      </c>
      <c r="I1034" s="5">
        <v>82</v>
      </c>
      <c r="J1034" s="5">
        <v>2221</v>
      </c>
      <c r="K1034" s="5">
        <v>2858.25</v>
      </c>
      <c r="L1034" s="5">
        <v>551</v>
      </c>
      <c r="M1034" s="5">
        <v>300</v>
      </c>
      <c r="N1034" s="5">
        <v>2</v>
      </c>
      <c r="O1034" s="5" t="s">
        <v>32</v>
      </c>
      <c r="P1034" s="5">
        <v>6135</v>
      </c>
      <c r="Q1034" s="5" t="s">
        <v>33</v>
      </c>
      <c r="R1034" s="2">
        <v>234376.5</v>
      </c>
      <c r="S1034" s="2">
        <v>52254.5</v>
      </c>
      <c r="T1034" s="1">
        <v>45891</v>
      </c>
      <c r="U1034" s="5">
        <v>8</v>
      </c>
    </row>
    <row r="1035" spans="1:21" x14ac:dyDescent="0.3">
      <c r="A1035" s="5" t="s">
        <v>1096</v>
      </c>
      <c r="B1035" s="1">
        <v>45682</v>
      </c>
      <c r="C1035" s="5" t="s">
        <v>18</v>
      </c>
      <c r="D1035" s="5" t="s">
        <v>62</v>
      </c>
      <c r="E1035" s="5" t="s">
        <v>54</v>
      </c>
      <c r="F1035" s="5" t="s">
        <v>81</v>
      </c>
      <c r="G1035" s="5" t="s">
        <v>56</v>
      </c>
      <c r="H1035" s="5" t="s">
        <v>51</v>
      </c>
      <c r="I1035" s="5">
        <v>116</v>
      </c>
      <c r="J1035" s="5">
        <v>1405</v>
      </c>
      <c r="K1035" s="5">
        <v>1929.95</v>
      </c>
      <c r="L1035" s="5">
        <v>1364</v>
      </c>
      <c r="M1035" s="5">
        <v>183</v>
      </c>
      <c r="N1035" s="5">
        <v>6</v>
      </c>
      <c r="O1035" s="5" t="s">
        <v>24</v>
      </c>
      <c r="P1035" s="5">
        <v>1073</v>
      </c>
      <c r="Q1035" s="5" t="s">
        <v>40</v>
      </c>
      <c r="R1035" s="2">
        <v>223874.2</v>
      </c>
      <c r="S1035" s="2">
        <v>60894.2</v>
      </c>
      <c r="T1035" s="1">
        <v>45682</v>
      </c>
      <c r="U1035" s="5">
        <v>1</v>
      </c>
    </row>
    <row r="1036" spans="1:21" x14ac:dyDescent="0.3">
      <c r="A1036" s="5" t="s">
        <v>1097</v>
      </c>
      <c r="B1036" s="1">
        <v>45719</v>
      </c>
      <c r="C1036" s="5" t="s">
        <v>18</v>
      </c>
      <c r="D1036" s="5" t="s">
        <v>28</v>
      </c>
      <c r="E1036" s="5" t="s">
        <v>54</v>
      </c>
      <c r="F1036" s="5" t="s">
        <v>78</v>
      </c>
      <c r="G1036" s="5" t="s">
        <v>38</v>
      </c>
      <c r="H1036" s="5" t="s">
        <v>23</v>
      </c>
      <c r="I1036" s="5">
        <v>324</v>
      </c>
      <c r="J1036" s="5">
        <v>3276</v>
      </c>
      <c r="K1036" s="5">
        <v>3991.01</v>
      </c>
      <c r="L1036" s="5">
        <v>534</v>
      </c>
      <c r="M1036" s="5">
        <v>112</v>
      </c>
      <c r="N1036" s="5">
        <v>1</v>
      </c>
      <c r="O1036" s="5" t="s">
        <v>24</v>
      </c>
      <c r="P1036" s="5">
        <v>4767</v>
      </c>
      <c r="Q1036" s="5" t="s">
        <v>33</v>
      </c>
      <c r="R1036" s="2">
        <v>1293087.24</v>
      </c>
      <c r="S1036" s="2">
        <v>231663.24</v>
      </c>
      <c r="T1036" s="1">
        <v>45719</v>
      </c>
      <c r="U1036" s="5">
        <v>3</v>
      </c>
    </row>
    <row r="1037" spans="1:21" x14ac:dyDescent="0.3">
      <c r="A1037" s="5" t="s">
        <v>1098</v>
      </c>
      <c r="B1037" s="1">
        <v>45811</v>
      </c>
      <c r="C1037" s="5" t="s">
        <v>42</v>
      </c>
      <c r="D1037" s="5" t="s">
        <v>36</v>
      </c>
      <c r="E1037" s="5" t="s">
        <v>49</v>
      </c>
      <c r="F1037" s="5" t="s">
        <v>75</v>
      </c>
      <c r="G1037" s="5" t="s">
        <v>31</v>
      </c>
      <c r="H1037" s="5" t="s">
        <v>51</v>
      </c>
      <c r="I1037" s="5">
        <v>497</v>
      </c>
      <c r="J1037" s="5">
        <v>3560</v>
      </c>
      <c r="K1037" s="5">
        <v>5289.59</v>
      </c>
      <c r="L1037" s="5">
        <v>1297</v>
      </c>
      <c r="M1037" s="5">
        <v>267</v>
      </c>
      <c r="N1037" s="5">
        <v>6</v>
      </c>
      <c r="O1037" s="5" t="s">
        <v>24</v>
      </c>
      <c r="P1037" s="5">
        <v>1474</v>
      </c>
      <c r="Q1037" s="5" t="s">
        <v>33</v>
      </c>
      <c r="R1037" s="2">
        <v>2628926.23</v>
      </c>
      <c r="S1037" s="2">
        <v>859606.23</v>
      </c>
      <c r="T1037" s="1">
        <v>45811</v>
      </c>
      <c r="U1037" s="5">
        <v>6</v>
      </c>
    </row>
    <row r="1038" spans="1:21" x14ac:dyDescent="0.3">
      <c r="A1038" s="5" t="s">
        <v>1099</v>
      </c>
      <c r="B1038" s="1">
        <v>45909</v>
      </c>
      <c r="C1038" s="5" t="s">
        <v>35</v>
      </c>
      <c r="D1038" s="5" t="s">
        <v>62</v>
      </c>
      <c r="E1038" s="5" t="s">
        <v>20</v>
      </c>
      <c r="F1038" s="5" t="s">
        <v>21</v>
      </c>
      <c r="G1038" s="5" t="s">
        <v>38</v>
      </c>
      <c r="H1038" s="5" t="s">
        <v>23</v>
      </c>
      <c r="I1038" s="5">
        <v>166</v>
      </c>
      <c r="J1038" s="5">
        <v>954</v>
      </c>
      <c r="K1038" s="5">
        <v>1118.8800000000001</v>
      </c>
      <c r="L1038" s="5">
        <v>479</v>
      </c>
      <c r="M1038" s="5">
        <v>162</v>
      </c>
      <c r="N1038" s="5">
        <v>8</v>
      </c>
      <c r="O1038" s="5" t="s">
        <v>24</v>
      </c>
      <c r="P1038" s="5">
        <v>5734</v>
      </c>
      <c r="Q1038" s="5" t="s">
        <v>46</v>
      </c>
      <c r="R1038" s="2">
        <v>185734.08</v>
      </c>
      <c r="S1038" s="2">
        <v>27370.080000000002</v>
      </c>
      <c r="T1038" s="1">
        <v>45909</v>
      </c>
      <c r="U1038" s="5">
        <v>9</v>
      </c>
    </row>
    <row r="1039" spans="1:21" x14ac:dyDescent="0.3">
      <c r="A1039" s="5" t="s">
        <v>1100</v>
      </c>
      <c r="B1039" s="1">
        <v>45690</v>
      </c>
      <c r="C1039" s="5" t="s">
        <v>42</v>
      </c>
      <c r="D1039" s="5" t="s">
        <v>53</v>
      </c>
      <c r="E1039" s="5" t="s">
        <v>54</v>
      </c>
      <c r="F1039" s="5" t="s">
        <v>78</v>
      </c>
      <c r="G1039" s="5" t="s">
        <v>38</v>
      </c>
      <c r="H1039" s="5" t="s">
        <v>39</v>
      </c>
      <c r="I1039" s="5">
        <v>35</v>
      </c>
      <c r="J1039" s="5">
        <v>3143</v>
      </c>
      <c r="K1039" s="5">
        <v>4170.96</v>
      </c>
      <c r="L1039" s="5">
        <v>1056</v>
      </c>
      <c r="M1039" s="5">
        <v>196</v>
      </c>
      <c r="N1039" s="5">
        <v>7</v>
      </c>
      <c r="O1039" s="5" t="s">
        <v>24</v>
      </c>
      <c r="P1039" s="5">
        <v>1592</v>
      </c>
      <c r="Q1039" s="5" t="s">
        <v>46</v>
      </c>
      <c r="R1039" s="2">
        <v>145983.6</v>
      </c>
      <c r="S1039" s="2">
        <v>35978.6</v>
      </c>
      <c r="T1039" s="1">
        <v>45690</v>
      </c>
      <c r="U1039" s="5">
        <v>2</v>
      </c>
    </row>
    <row r="1040" spans="1:21" x14ac:dyDescent="0.3">
      <c r="A1040" s="5" t="s">
        <v>1101</v>
      </c>
      <c r="B1040" s="1">
        <v>45757</v>
      </c>
      <c r="C1040" s="5" t="s">
        <v>18</v>
      </c>
      <c r="D1040" s="5" t="s">
        <v>28</v>
      </c>
      <c r="E1040" s="5" t="s">
        <v>20</v>
      </c>
      <c r="F1040" s="5" t="s">
        <v>60</v>
      </c>
      <c r="G1040" s="5" t="s">
        <v>31</v>
      </c>
      <c r="H1040" s="5" t="s">
        <v>23</v>
      </c>
      <c r="I1040" s="5">
        <v>13</v>
      </c>
      <c r="J1040" s="5">
        <v>3760</v>
      </c>
      <c r="K1040" s="5">
        <v>4617.68</v>
      </c>
      <c r="L1040" s="5">
        <v>208</v>
      </c>
      <c r="M1040" s="5">
        <v>235</v>
      </c>
      <c r="N1040" s="5">
        <v>10</v>
      </c>
      <c r="O1040" s="5" t="s">
        <v>24</v>
      </c>
      <c r="P1040" s="5">
        <v>857</v>
      </c>
      <c r="Q1040" s="5" t="s">
        <v>25</v>
      </c>
      <c r="R1040" s="2">
        <v>60029.84</v>
      </c>
      <c r="S1040" s="2">
        <v>11149.84</v>
      </c>
      <c r="T1040" s="1">
        <v>45757</v>
      </c>
      <c r="U1040" s="5">
        <v>4</v>
      </c>
    </row>
    <row r="1041" spans="1:21" x14ac:dyDescent="0.3">
      <c r="A1041" s="5" t="s">
        <v>1102</v>
      </c>
      <c r="B1041" s="1">
        <v>45917</v>
      </c>
      <c r="C1041" s="5" t="s">
        <v>27</v>
      </c>
      <c r="D1041" s="5" t="s">
        <v>62</v>
      </c>
      <c r="E1041" s="5" t="s">
        <v>29</v>
      </c>
      <c r="F1041" s="5" t="s">
        <v>73</v>
      </c>
      <c r="G1041" s="5" t="s">
        <v>38</v>
      </c>
      <c r="H1041" s="5" t="s">
        <v>23</v>
      </c>
      <c r="I1041" s="5">
        <v>341</v>
      </c>
      <c r="J1041" s="5">
        <v>946</v>
      </c>
      <c r="K1041" s="5">
        <v>1273.7</v>
      </c>
      <c r="L1041" s="5">
        <v>1188</v>
      </c>
      <c r="M1041" s="5">
        <v>200</v>
      </c>
      <c r="N1041" s="5">
        <v>3</v>
      </c>
      <c r="O1041" s="5" t="s">
        <v>32</v>
      </c>
      <c r="P1041" s="5">
        <v>3744</v>
      </c>
      <c r="Q1041" s="5" t="s">
        <v>33</v>
      </c>
      <c r="R1041" s="2">
        <v>434331.7</v>
      </c>
      <c r="S1041" s="2">
        <v>111745.7</v>
      </c>
      <c r="T1041" s="1">
        <v>45917</v>
      </c>
      <c r="U1041" s="5">
        <v>9</v>
      </c>
    </row>
    <row r="1042" spans="1:21" x14ac:dyDescent="0.3">
      <c r="A1042" s="5" t="s">
        <v>1103</v>
      </c>
      <c r="B1042" s="1">
        <v>45917</v>
      </c>
      <c r="C1042" s="5" t="s">
        <v>18</v>
      </c>
      <c r="D1042" s="5" t="s">
        <v>19</v>
      </c>
      <c r="E1042" s="5" t="s">
        <v>49</v>
      </c>
      <c r="F1042" s="5" t="s">
        <v>75</v>
      </c>
      <c r="G1042" s="5" t="s">
        <v>31</v>
      </c>
      <c r="H1042" s="5" t="s">
        <v>23</v>
      </c>
      <c r="I1042" s="5">
        <v>200</v>
      </c>
      <c r="J1042" s="5">
        <v>1017</v>
      </c>
      <c r="K1042" s="5">
        <v>1494.56</v>
      </c>
      <c r="L1042" s="5">
        <v>1503</v>
      </c>
      <c r="M1042" s="5">
        <v>196</v>
      </c>
      <c r="N1042" s="5">
        <v>7</v>
      </c>
      <c r="O1042" s="5" t="s">
        <v>24</v>
      </c>
      <c r="P1042" s="5">
        <v>5709</v>
      </c>
      <c r="Q1042" s="5" t="s">
        <v>25</v>
      </c>
      <c r="R1042" s="2">
        <v>298912</v>
      </c>
      <c r="S1042" s="2">
        <v>95512</v>
      </c>
      <c r="T1042" s="1">
        <v>45917</v>
      </c>
      <c r="U1042" s="5">
        <v>9</v>
      </c>
    </row>
    <row r="1043" spans="1:21" x14ac:dyDescent="0.3">
      <c r="A1043" s="5" t="s">
        <v>1104</v>
      </c>
      <c r="B1043" s="1">
        <v>45922</v>
      </c>
      <c r="C1043" s="5" t="s">
        <v>27</v>
      </c>
      <c r="D1043" s="5" t="s">
        <v>19</v>
      </c>
      <c r="E1043" s="5" t="s">
        <v>54</v>
      </c>
      <c r="F1043" s="5" t="s">
        <v>55</v>
      </c>
      <c r="G1043" s="5" t="s">
        <v>22</v>
      </c>
      <c r="H1043" s="5" t="s">
        <v>51</v>
      </c>
      <c r="I1043" s="5">
        <v>153</v>
      </c>
      <c r="J1043" s="5">
        <v>1532</v>
      </c>
      <c r="K1043" s="5">
        <v>2217.66</v>
      </c>
      <c r="L1043" s="5">
        <v>172</v>
      </c>
      <c r="M1043" s="5">
        <v>264</v>
      </c>
      <c r="N1043" s="5">
        <v>4</v>
      </c>
      <c r="O1043" s="5" t="s">
        <v>32</v>
      </c>
      <c r="P1043" s="5">
        <v>673</v>
      </c>
      <c r="Q1043" s="5" t="s">
        <v>33</v>
      </c>
      <c r="R1043" s="2">
        <v>339301.98</v>
      </c>
      <c r="S1043" s="2">
        <v>104905.98</v>
      </c>
      <c r="T1043" s="1">
        <v>45922</v>
      </c>
      <c r="U1043" s="5">
        <v>9</v>
      </c>
    </row>
    <row r="1044" spans="1:21" x14ac:dyDescent="0.3">
      <c r="A1044" s="5" t="s">
        <v>1105</v>
      </c>
      <c r="B1044" s="1">
        <v>45731</v>
      </c>
      <c r="C1044" s="5" t="s">
        <v>27</v>
      </c>
      <c r="D1044" s="5" t="s">
        <v>36</v>
      </c>
      <c r="E1044" s="5" t="s">
        <v>54</v>
      </c>
      <c r="F1044" s="5" t="s">
        <v>63</v>
      </c>
      <c r="G1044" s="5" t="s">
        <v>56</v>
      </c>
      <c r="H1044" s="5" t="s">
        <v>23</v>
      </c>
      <c r="I1044" s="5">
        <v>252</v>
      </c>
      <c r="J1044" s="5">
        <v>1437</v>
      </c>
      <c r="K1044" s="5">
        <v>2111.16</v>
      </c>
      <c r="L1044" s="5">
        <v>1316</v>
      </c>
      <c r="M1044" s="5">
        <v>89</v>
      </c>
      <c r="N1044" s="5">
        <v>7</v>
      </c>
      <c r="O1044" s="5" t="s">
        <v>24</v>
      </c>
      <c r="P1044" s="5">
        <v>1175</v>
      </c>
      <c r="Q1044" s="5" t="s">
        <v>46</v>
      </c>
      <c r="R1044" s="2">
        <v>532012.31999999995</v>
      </c>
      <c r="S1044" s="2">
        <v>169888.32</v>
      </c>
      <c r="T1044" s="1">
        <v>45731</v>
      </c>
      <c r="U1044" s="5">
        <v>3</v>
      </c>
    </row>
    <row r="1045" spans="1:21" x14ac:dyDescent="0.3">
      <c r="A1045" s="5" t="s">
        <v>1106</v>
      </c>
      <c r="B1045" s="1">
        <v>45779</v>
      </c>
      <c r="C1045" s="5" t="s">
        <v>18</v>
      </c>
      <c r="D1045" s="5" t="s">
        <v>28</v>
      </c>
      <c r="E1045" s="5" t="s">
        <v>20</v>
      </c>
      <c r="F1045" s="5" t="s">
        <v>100</v>
      </c>
      <c r="G1045" s="5" t="s">
        <v>38</v>
      </c>
      <c r="H1045" s="5" t="s">
        <v>23</v>
      </c>
      <c r="I1045" s="5">
        <v>351</v>
      </c>
      <c r="J1045" s="5">
        <v>4821</v>
      </c>
      <c r="K1045" s="5">
        <v>6618.03</v>
      </c>
      <c r="L1045" s="5">
        <v>926</v>
      </c>
      <c r="M1045" s="5">
        <v>261</v>
      </c>
      <c r="N1045" s="5">
        <v>2</v>
      </c>
      <c r="O1045" s="5" t="s">
        <v>32</v>
      </c>
      <c r="P1045" s="5">
        <v>593</v>
      </c>
      <c r="Q1045" s="5" t="s">
        <v>25</v>
      </c>
      <c r="R1045" s="2">
        <v>2322928.5299999998</v>
      </c>
      <c r="S1045" s="2">
        <v>630757.53</v>
      </c>
      <c r="T1045" s="1">
        <v>45779</v>
      </c>
      <c r="U1045" s="5">
        <v>5</v>
      </c>
    </row>
    <row r="1046" spans="1:21" x14ac:dyDescent="0.3">
      <c r="A1046" s="5" t="s">
        <v>1107</v>
      </c>
      <c r="B1046" s="1">
        <v>45963</v>
      </c>
      <c r="C1046" s="5" t="s">
        <v>42</v>
      </c>
      <c r="D1046" s="5" t="s">
        <v>53</v>
      </c>
      <c r="E1046" s="5" t="s">
        <v>49</v>
      </c>
      <c r="F1046" s="5" t="s">
        <v>75</v>
      </c>
      <c r="G1046" s="5" t="s">
        <v>31</v>
      </c>
      <c r="H1046" s="5" t="s">
        <v>39</v>
      </c>
      <c r="I1046" s="5">
        <v>104</v>
      </c>
      <c r="J1046" s="5">
        <v>4504</v>
      </c>
      <c r="K1046" s="5">
        <v>5335.78</v>
      </c>
      <c r="L1046" s="5">
        <v>1050</v>
      </c>
      <c r="M1046" s="5">
        <v>90</v>
      </c>
      <c r="N1046" s="5">
        <v>2</v>
      </c>
      <c r="O1046" s="5" t="s">
        <v>32</v>
      </c>
      <c r="P1046" s="5">
        <v>5785</v>
      </c>
      <c r="Q1046" s="5" t="s">
        <v>25</v>
      </c>
      <c r="R1046" s="2">
        <v>554921.12</v>
      </c>
      <c r="S1046" s="2">
        <v>86505.12</v>
      </c>
      <c r="T1046" s="1">
        <v>45963</v>
      </c>
      <c r="U1046" s="5">
        <v>11</v>
      </c>
    </row>
    <row r="1047" spans="1:21" x14ac:dyDescent="0.3">
      <c r="A1047" s="5" t="s">
        <v>1108</v>
      </c>
      <c r="B1047" s="1">
        <v>45862</v>
      </c>
      <c r="C1047" s="5" t="s">
        <v>27</v>
      </c>
      <c r="D1047" s="5" t="s">
        <v>28</v>
      </c>
      <c r="E1047" s="5" t="s">
        <v>54</v>
      </c>
      <c r="F1047" s="5" t="s">
        <v>81</v>
      </c>
      <c r="G1047" s="5" t="s">
        <v>38</v>
      </c>
      <c r="H1047" s="5" t="s">
        <v>39</v>
      </c>
      <c r="I1047" s="5">
        <v>176</v>
      </c>
      <c r="J1047" s="5">
        <v>2100</v>
      </c>
      <c r="K1047" s="5">
        <v>3037.17</v>
      </c>
      <c r="L1047" s="5">
        <v>339</v>
      </c>
      <c r="M1047" s="5">
        <v>259</v>
      </c>
      <c r="N1047" s="5">
        <v>7</v>
      </c>
      <c r="O1047" s="5" t="s">
        <v>24</v>
      </c>
      <c r="P1047" s="5">
        <v>5037</v>
      </c>
      <c r="Q1047" s="5" t="s">
        <v>40</v>
      </c>
      <c r="R1047" s="2">
        <v>534541.92000000004</v>
      </c>
      <c r="S1047" s="2">
        <v>164941.92000000001</v>
      </c>
      <c r="T1047" s="1">
        <v>45862</v>
      </c>
      <c r="U1047" s="5">
        <v>7</v>
      </c>
    </row>
    <row r="1048" spans="1:21" x14ac:dyDescent="0.3">
      <c r="A1048" s="5" t="s">
        <v>1109</v>
      </c>
      <c r="B1048" s="1">
        <v>45745</v>
      </c>
      <c r="C1048" s="5" t="s">
        <v>18</v>
      </c>
      <c r="D1048" s="5" t="s">
        <v>28</v>
      </c>
      <c r="E1048" s="5" t="s">
        <v>29</v>
      </c>
      <c r="F1048" s="5" t="s">
        <v>43</v>
      </c>
      <c r="G1048" s="5" t="s">
        <v>22</v>
      </c>
      <c r="H1048" s="5" t="s">
        <v>23</v>
      </c>
      <c r="I1048" s="5">
        <v>103</v>
      </c>
      <c r="J1048" s="5">
        <v>4648</v>
      </c>
      <c r="K1048" s="5">
        <v>5900.5</v>
      </c>
      <c r="L1048" s="5">
        <v>1463</v>
      </c>
      <c r="M1048" s="5">
        <v>279</v>
      </c>
      <c r="N1048" s="5">
        <v>7</v>
      </c>
      <c r="O1048" s="5" t="s">
        <v>24</v>
      </c>
      <c r="P1048" s="5">
        <v>4311</v>
      </c>
      <c r="Q1048" s="5" t="s">
        <v>46</v>
      </c>
      <c r="R1048" s="2">
        <v>607751.5</v>
      </c>
      <c r="S1048" s="2">
        <v>129007.5</v>
      </c>
      <c r="T1048" s="1">
        <v>45745</v>
      </c>
      <c r="U1048" s="5">
        <v>3</v>
      </c>
    </row>
    <row r="1049" spans="1:21" x14ac:dyDescent="0.3">
      <c r="A1049" s="5" t="s">
        <v>1110</v>
      </c>
      <c r="B1049" s="1">
        <v>45748</v>
      </c>
      <c r="C1049" s="5" t="s">
        <v>27</v>
      </c>
      <c r="D1049" s="5" t="s">
        <v>28</v>
      </c>
      <c r="E1049" s="5" t="s">
        <v>29</v>
      </c>
      <c r="F1049" s="5" t="s">
        <v>58</v>
      </c>
      <c r="G1049" s="5" t="s">
        <v>22</v>
      </c>
      <c r="H1049" s="5" t="s">
        <v>23</v>
      </c>
      <c r="I1049" s="5">
        <v>467</v>
      </c>
      <c r="J1049" s="5">
        <v>923</v>
      </c>
      <c r="K1049" s="5">
        <v>1256.67</v>
      </c>
      <c r="L1049" s="5">
        <v>232</v>
      </c>
      <c r="M1049" s="5">
        <v>228</v>
      </c>
      <c r="N1049" s="5">
        <v>4</v>
      </c>
      <c r="O1049" s="5" t="s">
        <v>32</v>
      </c>
      <c r="P1049" s="5">
        <v>3674</v>
      </c>
      <c r="Q1049" s="5" t="s">
        <v>33</v>
      </c>
      <c r="R1049" s="2">
        <v>586864.89</v>
      </c>
      <c r="S1049" s="2">
        <v>155823.89000000001</v>
      </c>
      <c r="T1049" s="1">
        <v>45748</v>
      </c>
      <c r="U1049" s="5">
        <v>4</v>
      </c>
    </row>
    <row r="1050" spans="1:21" x14ac:dyDescent="0.3">
      <c r="A1050" s="5" t="s">
        <v>1111</v>
      </c>
      <c r="B1050" s="1">
        <v>45908</v>
      </c>
      <c r="C1050" s="5" t="s">
        <v>18</v>
      </c>
      <c r="D1050" s="5" t="s">
        <v>19</v>
      </c>
      <c r="E1050" s="5" t="s">
        <v>29</v>
      </c>
      <c r="F1050" s="5" t="s">
        <v>73</v>
      </c>
      <c r="G1050" s="5" t="s">
        <v>56</v>
      </c>
      <c r="H1050" s="5" t="s">
        <v>23</v>
      </c>
      <c r="I1050" s="5">
        <v>46</v>
      </c>
      <c r="J1050" s="5">
        <v>240</v>
      </c>
      <c r="K1050" s="5">
        <v>339.52</v>
      </c>
      <c r="L1050" s="5">
        <v>56</v>
      </c>
      <c r="M1050" s="5">
        <v>163</v>
      </c>
      <c r="N1050" s="5">
        <v>1</v>
      </c>
      <c r="O1050" s="5" t="s">
        <v>32</v>
      </c>
      <c r="P1050" s="5">
        <v>4912</v>
      </c>
      <c r="Q1050" s="5" t="s">
        <v>33</v>
      </c>
      <c r="R1050" s="2">
        <v>15617.92</v>
      </c>
      <c r="S1050" s="2">
        <v>4577.92</v>
      </c>
      <c r="T1050" s="1">
        <v>45908</v>
      </c>
      <c r="U1050" s="5">
        <v>9</v>
      </c>
    </row>
    <row r="1051" spans="1:21" x14ac:dyDescent="0.3">
      <c r="A1051" s="5" t="s">
        <v>1112</v>
      </c>
      <c r="B1051" s="1">
        <v>45873</v>
      </c>
      <c r="C1051" s="5" t="s">
        <v>42</v>
      </c>
      <c r="D1051" s="5" t="s">
        <v>19</v>
      </c>
      <c r="E1051" s="5" t="s">
        <v>29</v>
      </c>
      <c r="F1051" s="5" t="s">
        <v>69</v>
      </c>
      <c r="G1051" s="5" t="s">
        <v>22</v>
      </c>
      <c r="H1051" s="5" t="s">
        <v>51</v>
      </c>
      <c r="I1051" s="5">
        <v>416</v>
      </c>
      <c r="J1051" s="5">
        <v>1514</v>
      </c>
      <c r="K1051" s="5">
        <v>1765.57</v>
      </c>
      <c r="L1051" s="5">
        <v>1759</v>
      </c>
      <c r="M1051" s="5">
        <v>153</v>
      </c>
      <c r="N1051" s="5">
        <v>7</v>
      </c>
      <c r="O1051" s="5" t="s">
        <v>24</v>
      </c>
      <c r="P1051" s="5">
        <v>3401</v>
      </c>
      <c r="Q1051" s="5" t="s">
        <v>46</v>
      </c>
      <c r="R1051" s="2">
        <v>734477.12</v>
      </c>
      <c r="S1051" s="2">
        <v>104653.12</v>
      </c>
      <c r="T1051" s="1">
        <v>45873</v>
      </c>
      <c r="U1051" s="5">
        <v>8</v>
      </c>
    </row>
    <row r="1052" spans="1:21" x14ac:dyDescent="0.3">
      <c r="A1052" s="5" t="s">
        <v>1113</v>
      </c>
      <c r="B1052" s="1">
        <v>45698</v>
      </c>
      <c r="C1052" s="5" t="s">
        <v>35</v>
      </c>
      <c r="D1052" s="5" t="s">
        <v>19</v>
      </c>
      <c r="E1052" s="5" t="s">
        <v>49</v>
      </c>
      <c r="F1052" s="5" t="s">
        <v>65</v>
      </c>
      <c r="G1052" s="5" t="s">
        <v>31</v>
      </c>
      <c r="H1052" s="5" t="s">
        <v>39</v>
      </c>
      <c r="I1052" s="5">
        <v>309</v>
      </c>
      <c r="J1052" s="5">
        <v>907</v>
      </c>
      <c r="K1052" s="5">
        <v>1342.67</v>
      </c>
      <c r="L1052" s="5">
        <v>1764</v>
      </c>
      <c r="M1052" s="5">
        <v>107</v>
      </c>
      <c r="N1052" s="5">
        <v>3</v>
      </c>
      <c r="O1052" s="5" t="s">
        <v>32</v>
      </c>
      <c r="P1052" s="5">
        <v>532</v>
      </c>
      <c r="Q1052" s="5" t="s">
        <v>33</v>
      </c>
      <c r="R1052" s="2">
        <v>414885.03</v>
      </c>
      <c r="S1052" s="2">
        <v>134622.03</v>
      </c>
      <c r="T1052" s="1">
        <v>45698</v>
      </c>
      <c r="U1052" s="5">
        <v>2</v>
      </c>
    </row>
    <row r="1053" spans="1:21" x14ac:dyDescent="0.3">
      <c r="A1053" s="5" t="s">
        <v>1114</v>
      </c>
      <c r="B1053" s="1">
        <v>45823</v>
      </c>
      <c r="C1053" s="5" t="s">
        <v>35</v>
      </c>
      <c r="D1053" s="5" t="s">
        <v>19</v>
      </c>
      <c r="E1053" s="5" t="s">
        <v>29</v>
      </c>
      <c r="F1053" s="5" t="s">
        <v>73</v>
      </c>
      <c r="G1053" s="5" t="s">
        <v>31</v>
      </c>
      <c r="H1053" s="5" t="s">
        <v>39</v>
      </c>
      <c r="I1053" s="5">
        <v>244</v>
      </c>
      <c r="J1053" s="5">
        <v>3320</v>
      </c>
      <c r="K1053" s="5">
        <v>4529.41</v>
      </c>
      <c r="L1053" s="5">
        <v>466</v>
      </c>
      <c r="M1053" s="5">
        <v>240</v>
      </c>
      <c r="N1053" s="5">
        <v>10</v>
      </c>
      <c r="O1053" s="5" t="s">
        <v>24</v>
      </c>
      <c r="P1053" s="5">
        <v>1659</v>
      </c>
      <c r="Q1053" s="5" t="s">
        <v>25</v>
      </c>
      <c r="R1053" s="2">
        <v>1105176.04</v>
      </c>
      <c r="S1053" s="2">
        <v>295096.03999999998</v>
      </c>
      <c r="T1053" s="1">
        <v>45823</v>
      </c>
      <c r="U1053" s="5">
        <v>6</v>
      </c>
    </row>
    <row r="1054" spans="1:21" x14ac:dyDescent="0.3">
      <c r="A1054" s="5" t="s">
        <v>1115</v>
      </c>
      <c r="B1054" s="1">
        <v>45883</v>
      </c>
      <c r="C1054" s="5" t="s">
        <v>27</v>
      </c>
      <c r="D1054" s="5" t="s">
        <v>53</v>
      </c>
      <c r="E1054" s="5" t="s">
        <v>49</v>
      </c>
      <c r="F1054" s="5" t="s">
        <v>50</v>
      </c>
      <c r="G1054" s="5" t="s">
        <v>22</v>
      </c>
      <c r="H1054" s="5" t="s">
        <v>23</v>
      </c>
      <c r="I1054" s="5">
        <v>324</v>
      </c>
      <c r="J1054" s="5">
        <v>5000</v>
      </c>
      <c r="K1054" s="5">
        <v>6852.45</v>
      </c>
      <c r="L1054" s="5">
        <v>1098</v>
      </c>
      <c r="M1054" s="5">
        <v>175</v>
      </c>
      <c r="N1054" s="5">
        <v>7</v>
      </c>
      <c r="O1054" s="5" t="s">
        <v>24</v>
      </c>
      <c r="P1054" s="5">
        <v>2697</v>
      </c>
      <c r="Q1054" s="5" t="s">
        <v>40</v>
      </c>
      <c r="R1054" s="2">
        <v>2220193.7999999998</v>
      </c>
      <c r="S1054" s="2">
        <v>600193.80000000005</v>
      </c>
      <c r="T1054" s="1">
        <v>45883</v>
      </c>
      <c r="U1054" s="5">
        <v>8</v>
      </c>
    </row>
    <row r="1055" spans="1:21" x14ac:dyDescent="0.3">
      <c r="A1055" s="5" t="s">
        <v>1116</v>
      </c>
      <c r="B1055" s="1">
        <v>45701</v>
      </c>
      <c r="C1055" s="5" t="s">
        <v>35</v>
      </c>
      <c r="D1055" s="5" t="s">
        <v>28</v>
      </c>
      <c r="E1055" s="5" t="s">
        <v>20</v>
      </c>
      <c r="F1055" s="5" t="s">
        <v>60</v>
      </c>
      <c r="G1055" s="5" t="s">
        <v>56</v>
      </c>
      <c r="H1055" s="5" t="s">
        <v>51</v>
      </c>
      <c r="I1055" s="5">
        <v>107</v>
      </c>
      <c r="J1055" s="5">
        <v>2157</v>
      </c>
      <c r="K1055" s="5">
        <v>2771.84</v>
      </c>
      <c r="L1055" s="5">
        <v>1033</v>
      </c>
      <c r="M1055" s="5">
        <v>99</v>
      </c>
      <c r="N1055" s="5">
        <v>9</v>
      </c>
      <c r="O1055" s="5" t="s">
        <v>24</v>
      </c>
      <c r="P1055" s="5">
        <v>3373</v>
      </c>
      <c r="Q1055" s="5" t="s">
        <v>46</v>
      </c>
      <c r="R1055" s="2">
        <v>296586.88</v>
      </c>
      <c r="S1055" s="2">
        <v>65787.88</v>
      </c>
      <c r="T1055" s="1">
        <v>45701</v>
      </c>
      <c r="U1055" s="5">
        <v>2</v>
      </c>
    </row>
    <row r="1056" spans="1:21" x14ac:dyDescent="0.3">
      <c r="A1056" s="5" t="s">
        <v>1117</v>
      </c>
      <c r="B1056" s="1">
        <v>45663</v>
      </c>
      <c r="C1056" s="5" t="s">
        <v>35</v>
      </c>
      <c r="D1056" s="5" t="s">
        <v>28</v>
      </c>
      <c r="E1056" s="5" t="s">
        <v>49</v>
      </c>
      <c r="F1056" s="5" t="s">
        <v>94</v>
      </c>
      <c r="G1056" s="5" t="s">
        <v>22</v>
      </c>
      <c r="H1056" s="5" t="s">
        <v>51</v>
      </c>
      <c r="I1056" s="5">
        <v>252</v>
      </c>
      <c r="J1056" s="5">
        <v>4193</v>
      </c>
      <c r="K1056" s="5">
        <v>5957.13</v>
      </c>
      <c r="L1056" s="5">
        <v>1222</v>
      </c>
      <c r="M1056" s="5">
        <v>278</v>
      </c>
      <c r="N1056" s="5">
        <v>3</v>
      </c>
      <c r="O1056" s="5" t="s">
        <v>32</v>
      </c>
      <c r="P1056" s="5">
        <v>1963</v>
      </c>
      <c r="Q1056" s="5" t="s">
        <v>33</v>
      </c>
      <c r="R1056" s="2">
        <v>1501196.76</v>
      </c>
      <c r="S1056" s="2">
        <v>444560.76</v>
      </c>
      <c r="T1056" s="1">
        <v>45663</v>
      </c>
      <c r="U1056" s="5">
        <v>1</v>
      </c>
    </row>
    <row r="1057" spans="1:21" x14ac:dyDescent="0.3">
      <c r="A1057" s="5" t="s">
        <v>1118</v>
      </c>
      <c r="B1057" s="1">
        <v>46015</v>
      </c>
      <c r="C1057" s="5" t="s">
        <v>42</v>
      </c>
      <c r="D1057" s="5" t="s">
        <v>28</v>
      </c>
      <c r="E1057" s="5" t="s">
        <v>54</v>
      </c>
      <c r="F1057" s="5" t="s">
        <v>81</v>
      </c>
      <c r="G1057" s="5" t="s">
        <v>56</v>
      </c>
      <c r="H1057" s="5" t="s">
        <v>23</v>
      </c>
      <c r="I1057" s="5">
        <v>231</v>
      </c>
      <c r="J1057" s="5">
        <v>1849</v>
      </c>
      <c r="K1057" s="5">
        <v>2591.5</v>
      </c>
      <c r="L1057" s="5">
        <v>202</v>
      </c>
      <c r="M1057" s="5">
        <v>276</v>
      </c>
      <c r="N1057" s="5">
        <v>1</v>
      </c>
      <c r="O1057" s="5" t="s">
        <v>32</v>
      </c>
      <c r="P1057" s="5">
        <v>2663</v>
      </c>
      <c r="Q1057" s="5" t="s">
        <v>33</v>
      </c>
      <c r="R1057" s="2">
        <v>598636.5</v>
      </c>
      <c r="S1057" s="2">
        <v>171517.5</v>
      </c>
      <c r="T1057" s="1">
        <v>46015</v>
      </c>
      <c r="U1057" s="5">
        <v>12</v>
      </c>
    </row>
    <row r="1058" spans="1:21" x14ac:dyDescent="0.3">
      <c r="A1058" s="5" t="s">
        <v>1119</v>
      </c>
      <c r="B1058" s="1">
        <v>45671</v>
      </c>
      <c r="C1058" s="5" t="s">
        <v>27</v>
      </c>
      <c r="D1058" s="5" t="s">
        <v>28</v>
      </c>
      <c r="E1058" s="5" t="s">
        <v>54</v>
      </c>
      <c r="F1058" s="5" t="s">
        <v>78</v>
      </c>
      <c r="G1058" s="5" t="s">
        <v>38</v>
      </c>
      <c r="H1058" s="5" t="s">
        <v>51</v>
      </c>
      <c r="I1058" s="5">
        <v>45</v>
      </c>
      <c r="J1058" s="5">
        <v>3019</v>
      </c>
      <c r="K1058" s="5">
        <v>3519.78</v>
      </c>
      <c r="L1058" s="5">
        <v>1207</v>
      </c>
      <c r="M1058" s="5">
        <v>159</v>
      </c>
      <c r="N1058" s="5">
        <v>7</v>
      </c>
      <c r="O1058" s="5" t="s">
        <v>24</v>
      </c>
      <c r="P1058" s="5">
        <v>1174</v>
      </c>
      <c r="Q1058" s="5" t="s">
        <v>25</v>
      </c>
      <c r="R1058" s="2">
        <v>158390.1</v>
      </c>
      <c r="S1058" s="2">
        <v>22535.1</v>
      </c>
      <c r="T1058" s="1">
        <v>45671</v>
      </c>
      <c r="U1058" s="5">
        <v>1</v>
      </c>
    </row>
    <row r="1059" spans="1:21" x14ac:dyDescent="0.3">
      <c r="A1059" s="5" t="s">
        <v>1120</v>
      </c>
      <c r="B1059" s="1">
        <v>45835</v>
      </c>
      <c r="C1059" s="5" t="s">
        <v>27</v>
      </c>
      <c r="D1059" s="5" t="s">
        <v>53</v>
      </c>
      <c r="E1059" s="5" t="s">
        <v>54</v>
      </c>
      <c r="F1059" s="5" t="s">
        <v>55</v>
      </c>
      <c r="G1059" s="5" t="s">
        <v>38</v>
      </c>
      <c r="H1059" s="5" t="s">
        <v>51</v>
      </c>
      <c r="I1059" s="5">
        <v>460</v>
      </c>
      <c r="J1059" s="5">
        <v>1970</v>
      </c>
      <c r="K1059" s="5">
        <v>2335.71</v>
      </c>
      <c r="L1059" s="5">
        <v>1195</v>
      </c>
      <c r="M1059" s="5">
        <v>158</v>
      </c>
      <c r="N1059" s="5">
        <v>5</v>
      </c>
      <c r="O1059" s="5" t="s">
        <v>32</v>
      </c>
      <c r="P1059" s="5">
        <v>4411</v>
      </c>
      <c r="Q1059" s="5" t="s">
        <v>33</v>
      </c>
      <c r="R1059" s="2">
        <v>1074426.6000000001</v>
      </c>
      <c r="S1059" s="2">
        <v>168226.6</v>
      </c>
      <c r="T1059" s="1">
        <v>45835</v>
      </c>
      <c r="U1059" s="5">
        <v>6</v>
      </c>
    </row>
    <row r="1060" spans="1:21" x14ac:dyDescent="0.3">
      <c r="A1060" s="5" t="s">
        <v>1121</v>
      </c>
      <c r="B1060" s="1">
        <v>45734</v>
      </c>
      <c r="C1060" s="5" t="s">
        <v>35</v>
      </c>
      <c r="D1060" s="5" t="s">
        <v>36</v>
      </c>
      <c r="E1060" s="5" t="s">
        <v>49</v>
      </c>
      <c r="F1060" s="5" t="s">
        <v>94</v>
      </c>
      <c r="G1060" s="5" t="s">
        <v>56</v>
      </c>
      <c r="H1060" s="5" t="s">
        <v>39</v>
      </c>
      <c r="I1060" s="5">
        <v>467</v>
      </c>
      <c r="J1060" s="5">
        <v>1758</v>
      </c>
      <c r="K1060" s="5">
        <v>2268.6999999999998</v>
      </c>
      <c r="L1060" s="5">
        <v>1253</v>
      </c>
      <c r="M1060" s="5">
        <v>142</v>
      </c>
      <c r="N1060" s="5">
        <v>4</v>
      </c>
      <c r="O1060" s="5" t="s">
        <v>32</v>
      </c>
      <c r="P1060" s="5">
        <v>4240</v>
      </c>
      <c r="Q1060" s="5" t="s">
        <v>33</v>
      </c>
      <c r="R1060" s="2">
        <v>1059482.8999999999</v>
      </c>
      <c r="S1060" s="2">
        <v>238496.9</v>
      </c>
      <c r="T1060" s="1">
        <v>45734</v>
      </c>
      <c r="U1060" s="5">
        <v>3</v>
      </c>
    </row>
    <row r="1061" spans="1:21" x14ac:dyDescent="0.3">
      <c r="A1061" s="5" t="s">
        <v>1122</v>
      </c>
      <c r="B1061" s="1">
        <v>45919</v>
      </c>
      <c r="C1061" s="5" t="s">
        <v>35</v>
      </c>
      <c r="D1061" s="5" t="s">
        <v>62</v>
      </c>
      <c r="E1061" s="5" t="s">
        <v>20</v>
      </c>
      <c r="F1061" s="5" t="s">
        <v>60</v>
      </c>
      <c r="G1061" s="5" t="s">
        <v>31</v>
      </c>
      <c r="H1061" s="5" t="s">
        <v>51</v>
      </c>
      <c r="I1061" s="5">
        <v>211</v>
      </c>
      <c r="J1061" s="5">
        <v>1956</v>
      </c>
      <c r="K1061" s="5">
        <v>2382.19</v>
      </c>
      <c r="L1061" s="5">
        <v>1619</v>
      </c>
      <c r="M1061" s="5">
        <v>81</v>
      </c>
      <c r="N1061" s="5">
        <v>5</v>
      </c>
      <c r="O1061" s="5" t="s">
        <v>32</v>
      </c>
      <c r="P1061" s="5">
        <v>5436</v>
      </c>
      <c r="Q1061" s="5" t="s">
        <v>33</v>
      </c>
      <c r="R1061" s="2">
        <v>502642.09</v>
      </c>
      <c r="S1061" s="2">
        <v>89926.09</v>
      </c>
      <c r="T1061" s="1">
        <v>45919</v>
      </c>
      <c r="U1061" s="5">
        <v>9</v>
      </c>
    </row>
    <row r="1062" spans="1:21" x14ac:dyDescent="0.3">
      <c r="A1062" s="5" t="s">
        <v>1123</v>
      </c>
      <c r="B1062" s="1">
        <v>45984</v>
      </c>
      <c r="C1062" s="5" t="s">
        <v>42</v>
      </c>
      <c r="D1062" s="5" t="s">
        <v>53</v>
      </c>
      <c r="E1062" s="5" t="s">
        <v>54</v>
      </c>
      <c r="F1062" s="5" t="s">
        <v>87</v>
      </c>
      <c r="G1062" s="5" t="s">
        <v>38</v>
      </c>
      <c r="H1062" s="5" t="s">
        <v>39</v>
      </c>
      <c r="I1062" s="5">
        <v>140</v>
      </c>
      <c r="J1062" s="5">
        <v>3085</v>
      </c>
      <c r="K1062" s="5">
        <v>4298.3599999999997</v>
      </c>
      <c r="L1062" s="5">
        <v>270</v>
      </c>
      <c r="M1062" s="5">
        <v>269</v>
      </c>
      <c r="N1062" s="5">
        <v>3</v>
      </c>
      <c r="O1062" s="5" t="s">
        <v>32</v>
      </c>
      <c r="P1062" s="5">
        <v>7787</v>
      </c>
      <c r="Q1062" s="5" t="s">
        <v>25</v>
      </c>
      <c r="R1062" s="2">
        <v>601770.4</v>
      </c>
      <c r="S1062" s="2">
        <v>169870.4</v>
      </c>
      <c r="T1062" s="1">
        <v>45984</v>
      </c>
      <c r="U1062" s="5">
        <v>11</v>
      </c>
    </row>
    <row r="1063" spans="1:21" x14ac:dyDescent="0.3">
      <c r="A1063" s="5" t="s">
        <v>1124</v>
      </c>
      <c r="B1063" s="1">
        <v>45988</v>
      </c>
      <c r="C1063" s="5" t="s">
        <v>27</v>
      </c>
      <c r="D1063" s="5" t="s">
        <v>62</v>
      </c>
      <c r="E1063" s="5" t="s">
        <v>20</v>
      </c>
      <c r="F1063" s="5" t="s">
        <v>60</v>
      </c>
      <c r="G1063" s="5" t="s">
        <v>56</v>
      </c>
      <c r="H1063" s="5" t="s">
        <v>51</v>
      </c>
      <c r="I1063" s="5">
        <v>116</v>
      </c>
      <c r="J1063" s="5">
        <v>4547</v>
      </c>
      <c r="K1063" s="5">
        <v>6267.68</v>
      </c>
      <c r="L1063" s="5">
        <v>440</v>
      </c>
      <c r="M1063" s="5">
        <v>299</v>
      </c>
      <c r="N1063" s="5">
        <v>10</v>
      </c>
      <c r="O1063" s="5" t="s">
        <v>24</v>
      </c>
      <c r="P1063" s="5">
        <v>7192</v>
      </c>
      <c r="Q1063" s="5" t="s">
        <v>40</v>
      </c>
      <c r="R1063" s="2">
        <v>727050.88</v>
      </c>
      <c r="S1063" s="2">
        <v>199598.88</v>
      </c>
      <c r="T1063" s="1">
        <v>45988</v>
      </c>
      <c r="U1063" s="5">
        <v>11</v>
      </c>
    </row>
    <row r="1064" spans="1:21" x14ac:dyDescent="0.3">
      <c r="A1064" s="5" t="s">
        <v>1125</v>
      </c>
      <c r="B1064" s="1">
        <v>45984</v>
      </c>
      <c r="C1064" s="5" t="s">
        <v>27</v>
      </c>
      <c r="D1064" s="5" t="s">
        <v>62</v>
      </c>
      <c r="E1064" s="5" t="s">
        <v>29</v>
      </c>
      <c r="F1064" s="5" t="s">
        <v>73</v>
      </c>
      <c r="G1064" s="5" t="s">
        <v>38</v>
      </c>
      <c r="H1064" s="5" t="s">
        <v>51</v>
      </c>
      <c r="I1064" s="5">
        <v>475</v>
      </c>
      <c r="J1064" s="5">
        <v>1807</v>
      </c>
      <c r="K1064" s="5">
        <v>2336.96</v>
      </c>
      <c r="L1064" s="5">
        <v>1738</v>
      </c>
      <c r="M1064" s="5">
        <v>102</v>
      </c>
      <c r="N1064" s="5">
        <v>4</v>
      </c>
      <c r="O1064" s="5" t="s">
        <v>32</v>
      </c>
      <c r="P1064" s="5">
        <v>1218</v>
      </c>
      <c r="Q1064" s="5" t="s">
        <v>33</v>
      </c>
      <c r="R1064" s="2">
        <v>1110056</v>
      </c>
      <c r="S1064" s="2">
        <v>251731</v>
      </c>
      <c r="T1064" s="1">
        <v>45984</v>
      </c>
      <c r="U1064" s="5">
        <v>11</v>
      </c>
    </row>
    <row r="1065" spans="1:21" x14ac:dyDescent="0.3">
      <c r="A1065" s="5" t="s">
        <v>1126</v>
      </c>
      <c r="B1065" s="1">
        <v>45871</v>
      </c>
      <c r="C1065" s="5" t="s">
        <v>18</v>
      </c>
      <c r="D1065" s="5" t="s">
        <v>28</v>
      </c>
      <c r="E1065" s="5" t="s">
        <v>54</v>
      </c>
      <c r="F1065" s="5" t="s">
        <v>63</v>
      </c>
      <c r="G1065" s="5" t="s">
        <v>31</v>
      </c>
      <c r="H1065" s="5" t="s">
        <v>23</v>
      </c>
      <c r="I1065" s="5">
        <v>261</v>
      </c>
      <c r="J1065" s="5">
        <v>3870</v>
      </c>
      <c r="K1065" s="5">
        <v>5539.4</v>
      </c>
      <c r="L1065" s="5">
        <v>755</v>
      </c>
      <c r="M1065" s="5">
        <v>271</v>
      </c>
      <c r="N1065" s="5">
        <v>9</v>
      </c>
      <c r="O1065" s="5" t="s">
        <v>24</v>
      </c>
      <c r="P1065" s="5">
        <v>2314</v>
      </c>
      <c r="Q1065" s="5" t="s">
        <v>33</v>
      </c>
      <c r="R1065" s="2">
        <v>1445783.4</v>
      </c>
      <c r="S1065" s="2">
        <v>435713.4</v>
      </c>
      <c r="T1065" s="1">
        <v>45871</v>
      </c>
      <c r="U1065" s="5">
        <v>8</v>
      </c>
    </row>
    <row r="1066" spans="1:21" x14ac:dyDescent="0.3">
      <c r="A1066" s="5" t="s">
        <v>1127</v>
      </c>
      <c r="B1066" s="1">
        <v>46015</v>
      </c>
      <c r="C1066" s="5" t="s">
        <v>18</v>
      </c>
      <c r="D1066" s="5" t="s">
        <v>62</v>
      </c>
      <c r="E1066" s="5" t="s">
        <v>29</v>
      </c>
      <c r="F1066" s="5" t="s">
        <v>30</v>
      </c>
      <c r="G1066" s="5" t="s">
        <v>31</v>
      </c>
      <c r="H1066" s="5" t="s">
        <v>39</v>
      </c>
      <c r="I1066" s="5">
        <v>298</v>
      </c>
      <c r="J1066" s="5">
        <v>823</v>
      </c>
      <c r="K1066" s="5">
        <v>1086.1199999999999</v>
      </c>
      <c r="L1066" s="5">
        <v>1337</v>
      </c>
      <c r="M1066" s="5">
        <v>101</v>
      </c>
      <c r="N1066" s="5">
        <v>6</v>
      </c>
      <c r="O1066" s="5" t="s">
        <v>24</v>
      </c>
      <c r="P1066" s="5">
        <v>4797</v>
      </c>
      <c r="Q1066" s="5" t="s">
        <v>40</v>
      </c>
      <c r="R1066" s="2">
        <v>323663.76</v>
      </c>
      <c r="S1066" s="2">
        <v>78409.759999999995</v>
      </c>
      <c r="T1066" s="1">
        <v>46015</v>
      </c>
      <c r="U1066" s="5">
        <v>12</v>
      </c>
    </row>
    <row r="1067" spans="1:21" x14ac:dyDescent="0.3">
      <c r="A1067" s="5" t="s">
        <v>1128</v>
      </c>
      <c r="B1067" s="1">
        <v>45742</v>
      </c>
      <c r="C1067" s="5" t="s">
        <v>42</v>
      </c>
      <c r="D1067" s="5" t="s">
        <v>62</v>
      </c>
      <c r="E1067" s="5" t="s">
        <v>29</v>
      </c>
      <c r="F1067" s="5" t="s">
        <v>58</v>
      </c>
      <c r="G1067" s="5" t="s">
        <v>31</v>
      </c>
      <c r="H1067" s="5" t="s">
        <v>23</v>
      </c>
      <c r="I1067" s="5">
        <v>69</v>
      </c>
      <c r="J1067" s="5">
        <v>533</v>
      </c>
      <c r="K1067" s="5">
        <v>770.83</v>
      </c>
      <c r="L1067" s="5">
        <v>1847</v>
      </c>
      <c r="M1067" s="5">
        <v>129</v>
      </c>
      <c r="N1067" s="5">
        <v>8</v>
      </c>
      <c r="O1067" s="5" t="s">
        <v>24</v>
      </c>
      <c r="P1067" s="5">
        <v>310</v>
      </c>
      <c r="Q1067" s="5" t="s">
        <v>25</v>
      </c>
      <c r="R1067" s="2">
        <v>53187.27</v>
      </c>
      <c r="S1067" s="2">
        <v>16410.27</v>
      </c>
      <c r="T1067" s="1">
        <v>45742</v>
      </c>
      <c r="U1067" s="5">
        <v>3</v>
      </c>
    </row>
    <row r="1068" spans="1:21" x14ac:dyDescent="0.3">
      <c r="A1068" s="5" t="s">
        <v>1129</v>
      </c>
      <c r="B1068" s="1">
        <v>45747</v>
      </c>
      <c r="C1068" s="5" t="s">
        <v>42</v>
      </c>
      <c r="D1068" s="5" t="s">
        <v>36</v>
      </c>
      <c r="E1068" s="5" t="s">
        <v>20</v>
      </c>
      <c r="F1068" s="5" t="s">
        <v>100</v>
      </c>
      <c r="G1068" s="5" t="s">
        <v>22</v>
      </c>
      <c r="H1068" s="5" t="s">
        <v>23</v>
      </c>
      <c r="I1068" s="5">
        <v>145</v>
      </c>
      <c r="J1068" s="5">
        <v>3647</v>
      </c>
      <c r="K1068" s="5">
        <v>4268.8900000000003</v>
      </c>
      <c r="L1068" s="5">
        <v>1642</v>
      </c>
      <c r="M1068" s="5">
        <v>129</v>
      </c>
      <c r="N1068" s="5">
        <v>10</v>
      </c>
      <c r="O1068" s="5" t="s">
        <v>24</v>
      </c>
      <c r="P1068" s="5">
        <v>7424</v>
      </c>
      <c r="Q1068" s="5" t="s">
        <v>25</v>
      </c>
      <c r="R1068" s="2">
        <v>618989.05000000005</v>
      </c>
      <c r="S1068" s="2">
        <v>90174.05</v>
      </c>
      <c r="T1068" s="1">
        <v>45747</v>
      </c>
      <c r="U1068" s="5">
        <v>3</v>
      </c>
    </row>
    <row r="1069" spans="1:21" x14ac:dyDescent="0.3">
      <c r="A1069" s="5" t="s">
        <v>1130</v>
      </c>
      <c r="B1069" s="1">
        <v>45890</v>
      </c>
      <c r="C1069" s="5" t="s">
        <v>18</v>
      </c>
      <c r="D1069" s="5" t="s">
        <v>36</v>
      </c>
      <c r="E1069" s="5" t="s">
        <v>49</v>
      </c>
      <c r="F1069" s="5" t="s">
        <v>89</v>
      </c>
      <c r="G1069" s="5" t="s">
        <v>38</v>
      </c>
      <c r="H1069" s="5" t="s">
        <v>23</v>
      </c>
      <c r="I1069" s="5">
        <v>185</v>
      </c>
      <c r="J1069" s="5">
        <v>130</v>
      </c>
      <c r="K1069" s="5">
        <v>184.61</v>
      </c>
      <c r="L1069" s="5">
        <v>311</v>
      </c>
      <c r="M1069" s="5">
        <v>229</v>
      </c>
      <c r="N1069" s="5">
        <v>7</v>
      </c>
      <c r="O1069" s="5" t="s">
        <v>24</v>
      </c>
      <c r="P1069" s="5">
        <v>2087</v>
      </c>
      <c r="Q1069" s="5" t="s">
        <v>40</v>
      </c>
      <c r="R1069" s="2">
        <v>34152.85</v>
      </c>
      <c r="S1069" s="2">
        <v>10102.85</v>
      </c>
      <c r="T1069" s="1">
        <v>45890</v>
      </c>
      <c r="U1069" s="5">
        <v>8</v>
      </c>
    </row>
    <row r="1070" spans="1:21" x14ac:dyDescent="0.3">
      <c r="A1070" s="5" t="s">
        <v>1131</v>
      </c>
      <c r="B1070" s="1">
        <v>45914</v>
      </c>
      <c r="C1070" s="5" t="s">
        <v>35</v>
      </c>
      <c r="D1070" s="5" t="s">
        <v>36</v>
      </c>
      <c r="E1070" s="5" t="s">
        <v>29</v>
      </c>
      <c r="F1070" s="5" t="s">
        <v>69</v>
      </c>
      <c r="G1070" s="5" t="s">
        <v>38</v>
      </c>
      <c r="H1070" s="5" t="s">
        <v>39</v>
      </c>
      <c r="I1070" s="5">
        <v>234</v>
      </c>
      <c r="J1070" s="5">
        <v>4732</v>
      </c>
      <c r="K1070" s="5">
        <v>5786.56</v>
      </c>
      <c r="L1070" s="5">
        <v>1227</v>
      </c>
      <c r="M1070" s="5">
        <v>157</v>
      </c>
      <c r="N1070" s="5">
        <v>1</v>
      </c>
      <c r="O1070" s="5" t="s">
        <v>32</v>
      </c>
      <c r="P1070" s="5">
        <v>7969</v>
      </c>
      <c r="Q1070" s="5" t="s">
        <v>25</v>
      </c>
      <c r="R1070" s="2">
        <v>1354055.04</v>
      </c>
      <c r="S1070" s="2">
        <v>246767.04</v>
      </c>
      <c r="T1070" s="1">
        <v>45914</v>
      </c>
      <c r="U1070" s="5">
        <v>9</v>
      </c>
    </row>
    <row r="1071" spans="1:21" x14ac:dyDescent="0.3">
      <c r="A1071" s="5" t="s">
        <v>1132</v>
      </c>
      <c r="B1071" s="1">
        <v>45976</v>
      </c>
      <c r="C1071" s="5" t="s">
        <v>42</v>
      </c>
      <c r="D1071" s="5" t="s">
        <v>19</v>
      </c>
      <c r="E1071" s="5" t="s">
        <v>49</v>
      </c>
      <c r="F1071" s="5" t="s">
        <v>75</v>
      </c>
      <c r="G1071" s="5" t="s">
        <v>38</v>
      </c>
      <c r="H1071" s="5" t="s">
        <v>23</v>
      </c>
      <c r="I1071" s="5">
        <v>94</v>
      </c>
      <c r="J1071" s="5">
        <v>2160</v>
      </c>
      <c r="K1071" s="5">
        <v>2572.48</v>
      </c>
      <c r="L1071" s="5">
        <v>671</v>
      </c>
      <c r="M1071" s="5">
        <v>208</v>
      </c>
      <c r="N1071" s="5">
        <v>4</v>
      </c>
      <c r="O1071" s="5" t="s">
        <v>32</v>
      </c>
      <c r="P1071" s="5">
        <v>2081</v>
      </c>
      <c r="Q1071" s="5" t="s">
        <v>33</v>
      </c>
      <c r="R1071" s="2">
        <v>241813.12</v>
      </c>
      <c r="S1071" s="2">
        <v>38773.120000000003</v>
      </c>
      <c r="T1071" s="1">
        <v>45976</v>
      </c>
      <c r="U1071" s="5">
        <v>11</v>
      </c>
    </row>
    <row r="1072" spans="1:21" x14ac:dyDescent="0.3">
      <c r="A1072" s="5" t="s">
        <v>1133</v>
      </c>
      <c r="B1072" s="1">
        <v>45940</v>
      </c>
      <c r="C1072" s="5" t="s">
        <v>35</v>
      </c>
      <c r="D1072" s="5" t="s">
        <v>19</v>
      </c>
      <c r="E1072" s="5" t="s">
        <v>20</v>
      </c>
      <c r="F1072" s="5" t="s">
        <v>21</v>
      </c>
      <c r="G1072" s="5" t="s">
        <v>56</v>
      </c>
      <c r="H1072" s="5" t="s">
        <v>51</v>
      </c>
      <c r="I1072" s="5">
        <v>340</v>
      </c>
      <c r="J1072" s="5">
        <v>2259</v>
      </c>
      <c r="K1072" s="5">
        <v>3099.69</v>
      </c>
      <c r="L1072" s="5">
        <v>945</v>
      </c>
      <c r="M1072" s="5">
        <v>114</v>
      </c>
      <c r="N1072" s="5">
        <v>3</v>
      </c>
      <c r="O1072" s="5" t="s">
        <v>32</v>
      </c>
      <c r="P1072" s="5">
        <v>7846</v>
      </c>
      <c r="Q1072" s="5" t="s">
        <v>33</v>
      </c>
      <c r="R1072" s="2">
        <v>1053894.6000000001</v>
      </c>
      <c r="S1072" s="2">
        <v>285834.59999999998</v>
      </c>
      <c r="T1072" s="1">
        <v>45940</v>
      </c>
      <c r="U1072" s="5">
        <v>10</v>
      </c>
    </row>
    <row r="1073" spans="1:21" x14ac:dyDescent="0.3">
      <c r="A1073" s="5" t="s">
        <v>1134</v>
      </c>
      <c r="B1073" s="1">
        <v>45905</v>
      </c>
      <c r="C1073" s="5" t="s">
        <v>18</v>
      </c>
      <c r="D1073" s="5" t="s">
        <v>62</v>
      </c>
      <c r="E1073" s="5" t="s">
        <v>29</v>
      </c>
      <c r="F1073" s="5" t="s">
        <v>58</v>
      </c>
      <c r="G1073" s="5" t="s">
        <v>31</v>
      </c>
      <c r="H1073" s="5" t="s">
        <v>39</v>
      </c>
      <c r="I1073" s="5">
        <v>470</v>
      </c>
      <c r="J1073" s="5">
        <v>4624</v>
      </c>
      <c r="K1073" s="5">
        <v>6205.07</v>
      </c>
      <c r="L1073" s="5">
        <v>1402</v>
      </c>
      <c r="M1073" s="5">
        <v>195</v>
      </c>
      <c r="N1073" s="5">
        <v>5</v>
      </c>
      <c r="O1073" s="5" t="s">
        <v>32</v>
      </c>
      <c r="P1073" s="5">
        <v>3989</v>
      </c>
      <c r="Q1073" s="5" t="s">
        <v>33</v>
      </c>
      <c r="R1073" s="2">
        <v>2916382.9</v>
      </c>
      <c r="S1073" s="2">
        <v>743102.9</v>
      </c>
      <c r="T1073" s="1">
        <v>45905</v>
      </c>
      <c r="U1073" s="5">
        <v>9</v>
      </c>
    </row>
    <row r="1074" spans="1:21" x14ac:dyDescent="0.3">
      <c r="A1074" s="5" t="s">
        <v>1135</v>
      </c>
      <c r="B1074" s="1">
        <v>45733</v>
      </c>
      <c r="C1074" s="5" t="s">
        <v>27</v>
      </c>
      <c r="D1074" s="5" t="s">
        <v>19</v>
      </c>
      <c r="E1074" s="5" t="s">
        <v>54</v>
      </c>
      <c r="F1074" s="5" t="s">
        <v>63</v>
      </c>
      <c r="G1074" s="5" t="s">
        <v>38</v>
      </c>
      <c r="H1074" s="5" t="s">
        <v>23</v>
      </c>
      <c r="I1074" s="5">
        <v>311</v>
      </c>
      <c r="J1074" s="5">
        <v>871</v>
      </c>
      <c r="K1074" s="5">
        <v>1223.4000000000001</v>
      </c>
      <c r="L1074" s="5">
        <v>1581</v>
      </c>
      <c r="M1074" s="5">
        <v>231</v>
      </c>
      <c r="N1074" s="5">
        <v>5</v>
      </c>
      <c r="O1074" s="5" t="s">
        <v>32</v>
      </c>
      <c r="P1074" s="5">
        <v>7750</v>
      </c>
      <c r="Q1074" s="5" t="s">
        <v>33</v>
      </c>
      <c r="R1074" s="2">
        <v>380477.4</v>
      </c>
      <c r="S1074" s="2">
        <v>109596.4</v>
      </c>
      <c r="T1074" s="1">
        <v>45733</v>
      </c>
      <c r="U1074" s="5">
        <v>3</v>
      </c>
    </row>
    <row r="1075" spans="1:21" x14ac:dyDescent="0.3">
      <c r="A1075" s="5" t="s">
        <v>1136</v>
      </c>
      <c r="B1075" s="1">
        <v>45812</v>
      </c>
      <c r="C1075" s="5" t="s">
        <v>35</v>
      </c>
      <c r="D1075" s="5" t="s">
        <v>53</v>
      </c>
      <c r="E1075" s="5" t="s">
        <v>20</v>
      </c>
      <c r="F1075" s="5" t="s">
        <v>45</v>
      </c>
      <c r="G1075" s="5" t="s">
        <v>38</v>
      </c>
      <c r="H1075" s="5" t="s">
        <v>23</v>
      </c>
      <c r="I1075" s="5">
        <v>171</v>
      </c>
      <c r="J1075" s="5">
        <v>3656</v>
      </c>
      <c r="K1075" s="5">
        <v>4374.53</v>
      </c>
      <c r="L1075" s="5">
        <v>1282</v>
      </c>
      <c r="M1075" s="5">
        <v>106</v>
      </c>
      <c r="N1075" s="5">
        <v>10</v>
      </c>
      <c r="O1075" s="5" t="s">
        <v>24</v>
      </c>
      <c r="P1075" s="5">
        <v>7049</v>
      </c>
      <c r="Q1075" s="5" t="s">
        <v>25</v>
      </c>
      <c r="R1075" s="2">
        <v>748044.63</v>
      </c>
      <c r="S1075" s="2">
        <v>122868.63</v>
      </c>
      <c r="T1075" s="1">
        <v>45812</v>
      </c>
      <c r="U1075" s="5">
        <v>6</v>
      </c>
    </row>
    <row r="1076" spans="1:21" x14ac:dyDescent="0.3">
      <c r="A1076" s="5" t="s">
        <v>1137</v>
      </c>
      <c r="B1076" s="1">
        <v>45994</v>
      </c>
      <c r="C1076" s="5" t="s">
        <v>27</v>
      </c>
      <c r="D1076" s="5" t="s">
        <v>19</v>
      </c>
      <c r="E1076" s="5" t="s">
        <v>54</v>
      </c>
      <c r="F1076" s="5" t="s">
        <v>55</v>
      </c>
      <c r="G1076" s="5" t="s">
        <v>22</v>
      </c>
      <c r="H1076" s="5" t="s">
        <v>23</v>
      </c>
      <c r="I1076" s="5">
        <v>448</v>
      </c>
      <c r="J1076" s="5">
        <v>3812</v>
      </c>
      <c r="K1076" s="5">
        <v>5477.21</v>
      </c>
      <c r="L1076" s="5">
        <v>422</v>
      </c>
      <c r="M1076" s="5">
        <v>177</v>
      </c>
      <c r="N1076" s="5">
        <v>4</v>
      </c>
      <c r="O1076" s="5" t="s">
        <v>32</v>
      </c>
      <c r="P1076" s="5">
        <v>3568</v>
      </c>
      <c r="Q1076" s="5" t="s">
        <v>33</v>
      </c>
      <c r="R1076" s="2">
        <v>2453790.08</v>
      </c>
      <c r="S1076" s="2">
        <v>746014.08</v>
      </c>
      <c r="T1076" s="1">
        <v>45994</v>
      </c>
      <c r="U1076" s="5">
        <v>12</v>
      </c>
    </row>
    <row r="1077" spans="1:21" x14ac:dyDescent="0.3">
      <c r="A1077" s="5" t="s">
        <v>1138</v>
      </c>
      <c r="B1077" s="1">
        <v>45772</v>
      </c>
      <c r="C1077" s="5" t="s">
        <v>42</v>
      </c>
      <c r="D1077" s="5" t="s">
        <v>62</v>
      </c>
      <c r="E1077" s="5" t="s">
        <v>49</v>
      </c>
      <c r="F1077" s="5" t="s">
        <v>50</v>
      </c>
      <c r="G1077" s="5" t="s">
        <v>56</v>
      </c>
      <c r="H1077" s="5" t="s">
        <v>23</v>
      </c>
      <c r="I1077" s="5">
        <v>125</v>
      </c>
      <c r="J1077" s="5">
        <v>2530</v>
      </c>
      <c r="K1077" s="5">
        <v>3720.75</v>
      </c>
      <c r="L1077" s="5">
        <v>1534</v>
      </c>
      <c r="M1077" s="5">
        <v>159</v>
      </c>
      <c r="N1077" s="5">
        <v>5</v>
      </c>
      <c r="O1077" s="5" t="s">
        <v>32</v>
      </c>
      <c r="P1077" s="5">
        <v>5241</v>
      </c>
      <c r="Q1077" s="5" t="s">
        <v>33</v>
      </c>
      <c r="R1077" s="2">
        <v>465093.75</v>
      </c>
      <c r="S1077" s="2">
        <v>148843.75</v>
      </c>
      <c r="T1077" s="1">
        <v>45772</v>
      </c>
      <c r="U1077" s="5">
        <v>4</v>
      </c>
    </row>
    <row r="1078" spans="1:21" x14ac:dyDescent="0.3">
      <c r="A1078" s="5" t="s">
        <v>1139</v>
      </c>
      <c r="B1078" s="1">
        <v>45926</v>
      </c>
      <c r="C1078" s="5" t="s">
        <v>35</v>
      </c>
      <c r="D1078" s="5" t="s">
        <v>19</v>
      </c>
      <c r="E1078" s="5" t="s">
        <v>20</v>
      </c>
      <c r="F1078" s="5" t="s">
        <v>21</v>
      </c>
      <c r="G1078" s="5" t="s">
        <v>22</v>
      </c>
      <c r="H1078" s="5" t="s">
        <v>51</v>
      </c>
      <c r="I1078" s="5">
        <v>445</v>
      </c>
      <c r="J1078" s="5">
        <v>4025</v>
      </c>
      <c r="K1078" s="5">
        <v>6006.48</v>
      </c>
      <c r="L1078" s="5">
        <v>646</v>
      </c>
      <c r="M1078" s="5">
        <v>186</v>
      </c>
      <c r="N1078" s="5">
        <v>7</v>
      </c>
      <c r="O1078" s="5" t="s">
        <v>24</v>
      </c>
      <c r="P1078" s="5">
        <v>1278</v>
      </c>
      <c r="Q1078" s="5" t="s">
        <v>40</v>
      </c>
      <c r="R1078" s="2">
        <v>2672883.6</v>
      </c>
      <c r="S1078" s="2">
        <v>881758.6</v>
      </c>
      <c r="T1078" s="1">
        <v>45926</v>
      </c>
      <c r="U1078" s="5">
        <v>9</v>
      </c>
    </row>
    <row r="1079" spans="1:21" x14ac:dyDescent="0.3">
      <c r="A1079" s="5" t="s">
        <v>1140</v>
      </c>
      <c r="B1079" s="1">
        <v>45955</v>
      </c>
      <c r="C1079" s="5" t="s">
        <v>27</v>
      </c>
      <c r="D1079" s="5" t="s">
        <v>62</v>
      </c>
      <c r="E1079" s="5" t="s">
        <v>20</v>
      </c>
      <c r="F1079" s="5" t="s">
        <v>60</v>
      </c>
      <c r="G1079" s="5" t="s">
        <v>31</v>
      </c>
      <c r="H1079" s="5" t="s">
        <v>51</v>
      </c>
      <c r="I1079" s="5">
        <v>18</v>
      </c>
      <c r="J1079" s="5">
        <v>2416</v>
      </c>
      <c r="K1079" s="5">
        <v>2993.2</v>
      </c>
      <c r="L1079" s="5">
        <v>245</v>
      </c>
      <c r="M1079" s="5">
        <v>82</v>
      </c>
      <c r="N1079" s="5">
        <v>9</v>
      </c>
      <c r="O1079" s="5" t="s">
        <v>24</v>
      </c>
      <c r="P1079" s="5">
        <v>2608</v>
      </c>
      <c r="Q1079" s="5" t="s">
        <v>25</v>
      </c>
      <c r="R1079" s="2">
        <v>53877.599999999999</v>
      </c>
      <c r="S1079" s="2">
        <v>10389.6</v>
      </c>
      <c r="T1079" s="1">
        <v>45955</v>
      </c>
      <c r="U1079" s="5">
        <v>10</v>
      </c>
    </row>
    <row r="1080" spans="1:21" x14ac:dyDescent="0.3">
      <c r="A1080" s="5" t="s">
        <v>1141</v>
      </c>
      <c r="B1080" s="1">
        <v>45849</v>
      </c>
      <c r="C1080" s="5" t="s">
        <v>42</v>
      </c>
      <c r="D1080" s="5" t="s">
        <v>53</v>
      </c>
      <c r="E1080" s="5" t="s">
        <v>29</v>
      </c>
      <c r="F1080" s="5" t="s">
        <v>73</v>
      </c>
      <c r="G1080" s="5" t="s">
        <v>56</v>
      </c>
      <c r="H1080" s="5" t="s">
        <v>51</v>
      </c>
      <c r="I1080" s="5">
        <v>335</v>
      </c>
      <c r="J1080" s="5">
        <v>1221</v>
      </c>
      <c r="K1080" s="5">
        <v>1692.94</v>
      </c>
      <c r="L1080" s="5">
        <v>148</v>
      </c>
      <c r="M1080" s="5">
        <v>212</v>
      </c>
      <c r="N1080" s="5">
        <v>5</v>
      </c>
      <c r="O1080" s="5" t="s">
        <v>32</v>
      </c>
      <c r="P1080" s="5">
        <v>1066</v>
      </c>
      <c r="Q1080" s="5" t="s">
        <v>33</v>
      </c>
      <c r="R1080" s="2">
        <v>567134.9</v>
      </c>
      <c r="S1080" s="2">
        <v>158099.9</v>
      </c>
      <c r="T1080" s="1">
        <v>45849</v>
      </c>
      <c r="U1080" s="5">
        <v>7</v>
      </c>
    </row>
    <row r="1081" spans="1:21" x14ac:dyDescent="0.3">
      <c r="A1081" s="5" t="s">
        <v>1142</v>
      </c>
      <c r="B1081" s="1">
        <v>45980</v>
      </c>
      <c r="C1081" s="5" t="s">
        <v>18</v>
      </c>
      <c r="D1081" s="5" t="s">
        <v>36</v>
      </c>
      <c r="E1081" s="5" t="s">
        <v>20</v>
      </c>
      <c r="F1081" s="5" t="s">
        <v>45</v>
      </c>
      <c r="G1081" s="5" t="s">
        <v>38</v>
      </c>
      <c r="H1081" s="5" t="s">
        <v>23</v>
      </c>
      <c r="I1081" s="5">
        <v>29</v>
      </c>
      <c r="J1081" s="5">
        <v>1316</v>
      </c>
      <c r="K1081" s="5">
        <v>1947.91</v>
      </c>
      <c r="L1081" s="5">
        <v>1152</v>
      </c>
      <c r="M1081" s="5">
        <v>149</v>
      </c>
      <c r="N1081" s="5">
        <v>3</v>
      </c>
      <c r="O1081" s="5" t="s">
        <v>32</v>
      </c>
      <c r="P1081" s="5">
        <v>6144</v>
      </c>
      <c r="Q1081" s="5" t="s">
        <v>33</v>
      </c>
      <c r="R1081" s="2">
        <v>56489.39</v>
      </c>
      <c r="S1081" s="2">
        <v>18325.39</v>
      </c>
      <c r="T1081" s="1">
        <v>45980</v>
      </c>
      <c r="U1081" s="5">
        <v>11</v>
      </c>
    </row>
    <row r="1082" spans="1:21" x14ac:dyDescent="0.3">
      <c r="A1082" s="5" t="s">
        <v>1143</v>
      </c>
      <c r="B1082" s="1">
        <v>45919</v>
      </c>
      <c r="C1082" s="5" t="s">
        <v>35</v>
      </c>
      <c r="D1082" s="5" t="s">
        <v>53</v>
      </c>
      <c r="E1082" s="5" t="s">
        <v>29</v>
      </c>
      <c r="F1082" s="5" t="s">
        <v>69</v>
      </c>
      <c r="G1082" s="5" t="s">
        <v>38</v>
      </c>
      <c r="H1082" s="5" t="s">
        <v>51</v>
      </c>
      <c r="I1082" s="5">
        <v>361</v>
      </c>
      <c r="J1082" s="5">
        <v>2449</v>
      </c>
      <c r="K1082" s="5">
        <v>3500.36</v>
      </c>
      <c r="L1082" s="5">
        <v>1574</v>
      </c>
      <c r="M1082" s="5">
        <v>186</v>
      </c>
      <c r="N1082" s="5">
        <v>5</v>
      </c>
      <c r="O1082" s="5" t="s">
        <v>32</v>
      </c>
      <c r="P1082" s="5">
        <v>6043</v>
      </c>
      <c r="Q1082" s="5" t="s">
        <v>33</v>
      </c>
      <c r="R1082" s="2">
        <v>1263629.96</v>
      </c>
      <c r="S1082" s="2">
        <v>379540.96</v>
      </c>
      <c r="T1082" s="1">
        <v>45919</v>
      </c>
      <c r="U1082" s="5">
        <v>9</v>
      </c>
    </row>
    <row r="1083" spans="1:21" x14ac:dyDescent="0.3">
      <c r="A1083" s="5" t="s">
        <v>1144</v>
      </c>
      <c r="B1083" s="1">
        <v>45718</v>
      </c>
      <c r="C1083" s="5" t="s">
        <v>42</v>
      </c>
      <c r="D1083" s="5" t="s">
        <v>53</v>
      </c>
      <c r="E1083" s="5" t="s">
        <v>29</v>
      </c>
      <c r="F1083" s="5" t="s">
        <v>73</v>
      </c>
      <c r="G1083" s="5" t="s">
        <v>22</v>
      </c>
      <c r="H1083" s="5" t="s">
        <v>39</v>
      </c>
      <c r="I1083" s="5">
        <v>62</v>
      </c>
      <c r="J1083" s="5">
        <v>3506</v>
      </c>
      <c r="K1083" s="5">
        <v>4852.4799999999996</v>
      </c>
      <c r="L1083" s="5">
        <v>1479</v>
      </c>
      <c r="M1083" s="5">
        <v>110</v>
      </c>
      <c r="N1083" s="5">
        <v>7</v>
      </c>
      <c r="O1083" s="5" t="s">
        <v>24</v>
      </c>
      <c r="P1083" s="5">
        <v>7848</v>
      </c>
      <c r="Q1083" s="5" t="s">
        <v>46</v>
      </c>
      <c r="R1083" s="2">
        <v>300853.76000000001</v>
      </c>
      <c r="S1083" s="2">
        <v>83481.759999999995</v>
      </c>
      <c r="T1083" s="1">
        <v>45718</v>
      </c>
      <c r="U1083" s="5">
        <v>3</v>
      </c>
    </row>
    <row r="1084" spans="1:21" x14ac:dyDescent="0.3">
      <c r="A1084" s="5" t="s">
        <v>1145</v>
      </c>
      <c r="B1084" s="1">
        <v>46013</v>
      </c>
      <c r="C1084" s="5" t="s">
        <v>35</v>
      </c>
      <c r="D1084" s="5" t="s">
        <v>28</v>
      </c>
      <c r="E1084" s="5" t="s">
        <v>49</v>
      </c>
      <c r="F1084" s="5" t="s">
        <v>94</v>
      </c>
      <c r="G1084" s="5" t="s">
        <v>22</v>
      </c>
      <c r="H1084" s="5" t="s">
        <v>39</v>
      </c>
      <c r="I1084" s="5">
        <v>412</v>
      </c>
      <c r="J1084" s="5">
        <v>2698</v>
      </c>
      <c r="K1084" s="5">
        <v>3746.58</v>
      </c>
      <c r="L1084" s="5">
        <v>1033</v>
      </c>
      <c r="M1084" s="5">
        <v>91</v>
      </c>
      <c r="N1084" s="5">
        <v>3</v>
      </c>
      <c r="O1084" s="5" t="s">
        <v>32</v>
      </c>
      <c r="P1084" s="5">
        <v>4395</v>
      </c>
      <c r="Q1084" s="5" t="s">
        <v>33</v>
      </c>
      <c r="R1084" s="2">
        <v>1543590.96</v>
      </c>
      <c r="S1084" s="2">
        <v>432014.96</v>
      </c>
      <c r="T1084" s="1">
        <v>46013</v>
      </c>
      <c r="U1084" s="5">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48"/>
  <sheetViews>
    <sheetView topLeftCell="A7" workbookViewId="0">
      <selection activeCell="E10" sqref="E10"/>
    </sheetView>
  </sheetViews>
  <sheetFormatPr defaultRowHeight="14.4" x14ac:dyDescent="0.3"/>
  <cols>
    <col min="1" max="1" width="12.5546875" bestFit="1" customWidth="1"/>
    <col min="2" max="2" width="16.44140625" bestFit="1" customWidth="1"/>
    <col min="4" max="4" width="12.5546875" customWidth="1"/>
    <col min="5" max="5" width="23.77734375" customWidth="1"/>
    <col min="6" max="6" width="23.77734375" bestFit="1" customWidth="1"/>
    <col min="7" max="7" width="12.5546875" customWidth="1"/>
    <col min="8" max="8" width="16.44140625" customWidth="1"/>
    <col min="9" max="9" width="19.44140625" customWidth="1"/>
    <col min="10" max="10" width="12.5546875" customWidth="1"/>
    <col min="11" max="11" width="14.88671875" customWidth="1"/>
    <col min="12" max="12" width="14.77734375" customWidth="1"/>
    <col min="13" max="13" width="14.88671875" bestFit="1" customWidth="1"/>
  </cols>
  <sheetData>
    <row r="3" spans="1:12" x14ac:dyDescent="0.3">
      <c r="A3" s="3" t="s">
        <v>1148</v>
      </c>
      <c r="B3" t="s">
        <v>1152</v>
      </c>
      <c r="D3" s="3" t="s">
        <v>1148</v>
      </c>
      <c r="E3" t="s">
        <v>1153</v>
      </c>
      <c r="G3" s="3" t="s">
        <v>1148</v>
      </c>
      <c r="H3" t="s">
        <v>1152</v>
      </c>
      <c r="J3" s="3" t="s">
        <v>1148</v>
      </c>
      <c r="K3" t="s">
        <v>1153</v>
      </c>
    </row>
    <row r="4" spans="1:12" x14ac:dyDescent="0.3">
      <c r="A4" s="4">
        <v>1</v>
      </c>
      <c r="B4" s="5">
        <v>77</v>
      </c>
      <c r="D4" s="4" t="s">
        <v>49</v>
      </c>
      <c r="E4" s="6">
        <v>232552658.08000025</v>
      </c>
      <c r="G4" s="4" t="s">
        <v>42</v>
      </c>
      <c r="H4" s="5">
        <v>292</v>
      </c>
      <c r="J4" s="4" t="s">
        <v>38</v>
      </c>
      <c r="K4" s="6">
        <v>248972195.29000002</v>
      </c>
    </row>
    <row r="5" spans="1:12" x14ac:dyDescent="0.3">
      <c r="A5" s="4">
        <v>2</v>
      </c>
      <c r="B5" s="5">
        <v>88</v>
      </c>
      <c r="D5" s="4" t="s">
        <v>29</v>
      </c>
      <c r="E5" s="6">
        <v>232199174.35999998</v>
      </c>
      <c r="G5" s="4" t="s">
        <v>27</v>
      </c>
      <c r="H5" s="5">
        <v>265</v>
      </c>
      <c r="J5" s="4" t="s">
        <v>22</v>
      </c>
      <c r="K5" s="6">
        <v>237521967.11000004</v>
      </c>
    </row>
    <row r="6" spans="1:12" x14ac:dyDescent="0.3">
      <c r="A6" s="4">
        <v>3</v>
      </c>
      <c r="B6" s="5">
        <v>103</v>
      </c>
      <c r="D6" s="4" t="s">
        <v>20</v>
      </c>
      <c r="E6" s="6">
        <v>229481005.35999995</v>
      </c>
      <c r="G6" s="4" t="s">
        <v>35</v>
      </c>
      <c r="H6" s="5">
        <v>264</v>
      </c>
      <c r="J6" s="4" t="s">
        <v>31</v>
      </c>
      <c r="K6" s="6">
        <v>211976367.38999987</v>
      </c>
    </row>
    <row r="7" spans="1:12" x14ac:dyDescent="0.3">
      <c r="A7" s="4">
        <v>4</v>
      </c>
      <c r="B7" s="5">
        <v>84</v>
      </c>
      <c r="D7" s="4" t="s">
        <v>54</v>
      </c>
      <c r="E7" s="6">
        <v>210109065.43999997</v>
      </c>
      <c r="G7" s="4" t="s">
        <v>18</v>
      </c>
      <c r="H7" s="5">
        <v>262</v>
      </c>
      <c r="J7" s="4" t="s">
        <v>56</v>
      </c>
      <c r="K7" s="6">
        <v>205871373.45000005</v>
      </c>
    </row>
    <row r="8" spans="1:12" x14ac:dyDescent="0.3">
      <c r="A8" s="4">
        <v>5</v>
      </c>
      <c r="B8" s="5">
        <v>81</v>
      </c>
      <c r="D8" s="4" t="s">
        <v>1149</v>
      </c>
      <c r="E8" s="6">
        <v>904341903.24000025</v>
      </c>
      <c r="G8" s="4" t="s">
        <v>1149</v>
      </c>
      <c r="H8" s="5">
        <v>1083</v>
      </c>
      <c r="J8" s="4" t="s">
        <v>1149</v>
      </c>
      <c r="K8" s="6">
        <v>904341903.24000001</v>
      </c>
    </row>
    <row r="9" spans="1:12" x14ac:dyDescent="0.3">
      <c r="A9" s="4">
        <v>6</v>
      </c>
      <c r="B9" s="5">
        <v>100</v>
      </c>
    </row>
    <row r="10" spans="1:12" x14ac:dyDescent="0.3">
      <c r="A10" s="4">
        <v>7</v>
      </c>
      <c r="B10" s="5">
        <v>96</v>
      </c>
      <c r="D10" s="3" t="s">
        <v>1148</v>
      </c>
      <c r="E10" t="s">
        <v>1152</v>
      </c>
      <c r="G10" s="3" t="s">
        <v>1148</v>
      </c>
      <c r="H10" t="s">
        <v>1152</v>
      </c>
    </row>
    <row r="11" spans="1:12" x14ac:dyDescent="0.3">
      <c r="A11" s="4">
        <v>8</v>
      </c>
      <c r="B11" s="5">
        <v>98</v>
      </c>
      <c r="D11" s="4" t="s">
        <v>40</v>
      </c>
      <c r="E11" s="5">
        <v>157</v>
      </c>
      <c r="G11" s="4" t="s">
        <v>39</v>
      </c>
      <c r="H11" s="5">
        <v>357</v>
      </c>
    </row>
    <row r="12" spans="1:12" x14ac:dyDescent="0.3">
      <c r="A12" s="4">
        <v>9</v>
      </c>
      <c r="B12" s="5">
        <v>94</v>
      </c>
      <c r="D12" s="4" t="s">
        <v>46</v>
      </c>
      <c r="E12" s="5">
        <v>145</v>
      </c>
      <c r="G12" s="4" t="s">
        <v>23</v>
      </c>
      <c r="H12" s="5">
        <v>375</v>
      </c>
      <c r="J12" s="3" t="s">
        <v>1148</v>
      </c>
      <c r="K12" t="s">
        <v>1154</v>
      </c>
      <c r="L12" t="s">
        <v>1155</v>
      </c>
    </row>
    <row r="13" spans="1:12" x14ac:dyDescent="0.3">
      <c r="A13" s="4">
        <v>10</v>
      </c>
      <c r="B13" s="5">
        <v>83</v>
      </c>
      <c r="D13" s="4" t="s">
        <v>33</v>
      </c>
      <c r="E13" s="5">
        <v>580</v>
      </c>
      <c r="G13" s="4" t="s">
        <v>51</v>
      </c>
      <c r="H13" s="5">
        <v>351</v>
      </c>
      <c r="J13" s="4" t="s">
        <v>100</v>
      </c>
      <c r="K13" s="7">
        <v>1192.7627118644068</v>
      </c>
      <c r="L13" s="7">
        <v>172.42372881355934</v>
      </c>
    </row>
    <row r="14" spans="1:12" x14ac:dyDescent="0.3">
      <c r="A14" s="4">
        <v>11</v>
      </c>
      <c r="B14" s="5">
        <v>82</v>
      </c>
      <c r="D14" s="4" t="s">
        <v>25</v>
      </c>
      <c r="E14" s="5">
        <v>201</v>
      </c>
      <c r="G14" s="4" t="s">
        <v>1149</v>
      </c>
      <c r="H14" s="5">
        <v>1083</v>
      </c>
      <c r="J14" s="4" t="s">
        <v>30</v>
      </c>
      <c r="K14" s="7">
        <v>1118.0227272727273</v>
      </c>
      <c r="L14" s="7">
        <v>194.36363636363637</v>
      </c>
    </row>
    <row r="15" spans="1:12" x14ac:dyDescent="0.3">
      <c r="A15" s="4">
        <v>12</v>
      </c>
      <c r="B15" s="5">
        <v>97</v>
      </c>
      <c r="D15" s="4" t="s">
        <v>1149</v>
      </c>
      <c r="E15" s="5">
        <v>1083</v>
      </c>
      <c r="J15" s="4" t="s">
        <v>60</v>
      </c>
      <c r="K15" s="7">
        <v>1112.1851851851852</v>
      </c>
      <c r="L15" s="7">
        <v>187.40740740740742</v>
      </c>
    </row>
    <row r="16" spans="1:12" x14ac:dyDescent="0.3">
      <c r="A16" s="4" t="s">
        <v>1149</v>
      </c>
      <c r="B16" s="5">
        <v>1083</v>
      </c>
      <c r="J16" s="4" t="s">
        <v>65</v>
      </c>
      <c r="K16" s="7">
        <v>1105.8148148148148</v>
      </c>
      <c r="L16" s="7">
        <v>193.22222222222223</v>
      </c>
    </row>
    <row r="17" spans="4:12" x14ac:dyDescent="0.3">
      <c r="J17" s="4" t="s">
        <v>78</v>
      </c>
      <c r="K17" s="7">
        <v>1083.5999999999999</v>
      </c>
      <c r="L17" s="7">
        <v>176.53333333333333</v>
      </c>
    </row>
    <row r="18" spans="4:12" x14ac:dyDescent="0.3">
      <c r="J18" s="4" t="s">
        <v>43</v>
      </c>
      <c r="K18" s="7">
        <v>1082.9038461538462</v>
      </c>
      <c r="L18" s="7">
        <v>190.5</v>
      </c>
    </row>
    <row r="19" spans="4:12" x14ac:dyDescent="0.3">
      <c r="J19" s="4" t="s">
        <v>81</v>
      </c>
      <c r="K19" s="7">
        <v>1069.22</v>
      </c>
      <c r="L19" s="7">
        <v>202.48</v>
      </c>
    </row>
    <row r="20" spans="4:12" x14ac:dyDescent="0.3">
      <c r="G20" s="3" t="s">
        <v>1148</v>
      </c>
      <c r="H20" t="s">
        <v>1156</v>
      </c>
      <c r="J20" s="4" t="s">
        <v>73</v>
      </c>
      <c r="K20" s="7">
        <v>1061.1346153846155</v>
      </c>
      <c r="L20" s="7">
        <v>185</v>
      </c>
    </row>
    <row r="21" spans="4:12" x14ac:dyDescent="0.3">
      <c r="D21" s="3" t="s">
        <v>1148</v>
      </c>
      <c r="E21" t="s">
        <v>1152</v>
      </c>
      <c r="G21" s="4" t="s">
        <v>58</v>
      </c>
      <c r="H21" s="6">
        <v>14690250.839999996</v>
      </c>
      <c r="J21" s="4" t="s">
        <v>55</v>
      </c>
      <c r="K21" s="7">
        <v>1031.3636363636363</v>
      </c>
      <c r="L21" s="7">
        <v>176.96363636363637</v>
      </c>
    </row>
    <row r="22" spans="4:12" x14ac:dyDescent="0.3">
      <c r="D22" s="4" t="s">
        <v>19</v>
      </c>
      <c r="E22" s="5">
        <v>213</v>
      </c>
      <c r="G22" s="4" t="s">
        <v>65</v>
      </c>
      <c r="H22" s="6">
        <v>14528052.369999995</v>
      </c>
      <c r="J22" s="4" t="s">
        <v>45</v>
      </c>
      <c r="K22" s="7">
        <v>1029.0344827586207</v>
      </c>
      <c r="L22" s="7">
        <v>195.37931034482759</v>
      </c>
    </row>
    <row r="23" spans="4:12" x14ac:dyDescent="0.3">
      <c r="D23" s="4" t="s">
        <v>28</v>
      </c>
      <c r="E23" s="5">
        <v>230</v>
      </c>
      <c r="G23" s="4" t="s">
        <v>100</v>
      </c>
      <c r="H23" s="6">
        <v>12004369.690000003</v>
      </c>
      <c r="J23" s="4" t="s">
        <v>87</v>
      </c>
      <c r="K23" s="7">
        <v>1021.5555555555555</v>
      </c>
      <c r="L23" s="7">
        <v>189.53333333333333</v>
      </c>
    </row>
    <row r="24" spans="4:12" x14ac:dyDescent="0.3">
      <c r="D24" s="4" t="s">
        <v>53</v>
      </c>
      <c r="E24" s="5">
        <v>203</v>
      </c>
      <c r="G24" s="4" t="s">
        <v>89</v>
      </c>
      <c r="H24" s="6">
        <v>11888422.079999998</v>
      </c>
      <c r="J24" s="4" t="s">
        <v>75</v>
      </c>
      <c r="K24" s="7">
        <v>1015.4920634920635</v>
      </c>
      <c r="L24" s="7">
        <v>196.76190476190476</v>
      </c>
    </row>
    <row r="25" spans="4:12" x14ac:dyDescent="0.3">
      <c r="D25" s="4" t="s">
        <v>62</v>
      </c>
      <c r="E25" s="5">
        <v>222</v>
      </c>
      <c r="G25" s="4" t="s">
        <v>45</v>
      </c>
      <c r="H25" s="6">
        <v>11750588.380000001</v>
      </c>
      <c r="J25" s="4" t="s">
        <v>37</v>
      </c>
      <c r="K25" s="7">
        <v>1014.0192307692307</v>
      </c>
      <c r="L25" s="7">
        <v>193.32692307692307</v>
      </c>
    </row>
    <row r="26" spans="4:12" x14ac:dyDescent="0.3">
      <c r="D26" s="4" t="s">
        <v>36</v>
      </c>
      <c r="E26" s="5">
        <v>215</v>
      </c>
      <c r="G26" s="4" t="s">
        <v>55</v>
      </c>
      <c r="H26" s="6">
        <v>11621556.529999999</v>
      </c>
      <c r="J26" s="4" t="s">
        <v>89</v>
      </c>
      <c r="K26" s="7">
        <v>1010.4385964912281</v>
      </c>
      <c r="L26" s="7">
        <v>195.2280701754386</v>
      </c>
    </row>
    <row r="27" spans="4:12" x14ac:dyDescent="0.3">
      <c r="D27" s="4" t="s">
        <v>1149</v>
      </c>
      <c r="E27" s="5">
        <v>1083</v>
      </c>
      <c r="G27" s="4" t="s">
        <v>21</v>
      </c>
      <c r="H27" s="6">
        <v>11580371.250000002</v>
      </c>
      <c r="J27" s="4" t="s">
        <v>94</v>
      </c>
      <c r="K27" s="7">
        <v>1008.4590163934427</v>
      </c>
      <c r="L27" s="7">
        <v>188.11475409836066</v>
      </c>
    </row>
    <row r="28" spans="4:12" x14ac:dyDescent="0.3">
      <c r="G28" s="4" t="s">
        <v>73</v>
      </c>
      <c r="H28" s="6">
        <v>11190405.07</v>
      </c>
      <c r="J28" s="4" t="s">
        <v>21</v>
      </c>
      <c r="K28" s="7">
        <v>1004.9137931034483</v>
      </c>
      <c r="L28" s="7">
        <v>196.9655172413793</v>
      </c>
    </row>
    <row r="29" spans="4:12" x14ac:dyDescent="0.3">
      <c r="G29" s="4" t="s">
        <v>94</v>
      </c>
      <c r="H29" s="6">
        <v>11111706.050000004</v>
      </c>
      <c r="J29" s="4" t="s">
        <v>58</v>
      </c>
      <c r="K29" s="7">
        <v>993.4</v>
      </c>
      <c r="L29" s="7">
        <v>198.65714285714284</v>
      </c>
    </row>
    <row r="30" spans="4:12" x14ac:dyDescent="0.3">
      <c r="G30" s="4" t="s">
        <v>69</v>
      </c>
      <c r="H30" s="6">
        <v>10956406.609999999</v>
      </c>
      <c r="J30" s="4" t="s">
        <v>69</v>
      </c>
      <c r="K30" s="7">
        <v>944.09433962264154</v>
      </c>
      <c r="L30" s="7">
        <v>182.28301886792454</v>
      </c>
    </row>
    <row r="31" spans="4:12" x14ac:dyDescent="0.3">
      <c r="D31" s="3" t="s">
        <v>1148</v>
      </c>
      <c r="E31" t="s">
        <v>1157</v>
      </c>
      <c r="G31" s="4" t="s">
        <v>1149</v>
      </c>
      <c r="H31" s="6">
        <v>121322128.87</v>
      </c>
      <c r="J31" s="4" t="s">
        <v>50</v>
      </c>
      <c r="K31" s="7">
        <v>925.125</v>
      </c>
      <c r="L31" s="7">
        <v>193.45833333333334</v>
      </c>
    </row>
    <row r="32" spans="4:12" x14ac:dyDescent="0.3">
      <c r="D32" s="4" t="s">
        <v>39</v>
      </c>
      <c r="E32" s="6">
        <v>1510336</v>
      </c>
      <c r="J32" s="4" t="s">
        <v>63</v>
      </c>
      <c r="K32" s="7">
        <v>915.84905660377353</v>
      </c>
      <c r="L32" s="7">
        <v>178.16981132075472</v>
      </c>
    </row>
    <row r="33" spans="4:13" x14ac:dyDescent="0.3">
      <c r="D33" s="4" t="s">
        <v>23</v>
      </c>
      <c r="E33" s="6">
        <v>1560479</v>
      </c>
      <c r="J33" s="4" t="s">
        <v>1149</v>
      </c>
      <c r="K33" s="7">
        <v>1036.0590951061865</v>
      </c>
      <c r="L33" s="7">
        <v>189.50969529085873</v>
      </c>
    </row>
    <row r="34" spans="4:13" x14ac:dyDescent="0.3">
      <c r="D34" s="4" t="s">
        <v>51</v>
      </c>
      <c r="E34" s="6">
        <v>1416836</v>
      </c>
    </row>
    <row r="35" spans="4:13" x14ac:dyDescent="0.3">
      <c r="D35" s="4" t="s">
        <v>1149</v>
      </c>
      <c r="E35" s="6">
        <v>4487651</v>
      </c>
      <c r="G35" s="3" t="s">
        <v>1148</v>
      </c>
      <c r="H35" t="s">
        <v>1158</v>
      </c>
    </row>
    <row r="36" spans="4:13" x14ac:dyDescent="0.3">
      <c r="G36" s="4" t="s">
        <v>36</v>
      </c>
      <c r="H36" s="7">
        <v>5.4186046511627906</v>
      </c>
    </row>
    <row r="37" spans="4:13" x14ac:dyDescent="0.3">
      <c r="G37" s="4" t="s">
        <v>19</v>
      </c>
      <c r="H37" s="7">
        <v>5.455399061032864</v>
      </c>
      <c r="J37" s="3" t="s">
        <v>1148</v>
      </c>
      <c r="K37" t="s">
        <v>1153</v>
      </c>
      <c r="L37" t="s">
        <v>1156</v>
      </c>
      <c r="M37" t="s">
        <v>1159</v>
      </c>
    </row>
    <row r="38" spans="4:13" x14ac:dyDescent="0.3">
      <c r="G38" s="4" t="s">
        <v>28</v>
      </c>
      <c r="H38" s="7">
        <v>5.4739130434782606</v>
      </c>
      <c r="J38" s="4" t="s">
        <v>58</v>
      </c>
      <c r="K38" s="6">
        <v>60841095.840000011</v>
      </c>
      <c r="L38" s="6">
        <v>14690250.839999996</v>
      </c>
      <c r="M38" s="5">
        <v>17633</v>
      </c>
    </row>
    <row r="39" spans="4:13" x14ac:dyDescent="0.3">
      <c r="G39" s="4" t="s">
        <v>62</v>
      </c>
      <c r="H39" s="7">
        <v>5.7027027027027026</v>
      </c>
      <c r="J39" s="4" t="s">
        <v>65</v>
      </c>
      <c r="K39" s="6">
        <v>53953625.370000012</v>
      </c>
      <c r="L39" s="6">
        <v>14528052.369999995</v>
      </c>
      <c r="M39" s="5">
        <v>14548</v>
      </c>
    </row>
    <row r="40" spans="4:13" x14ac:dyDescent="0.3">
      <c r="G40" s="4" t="s">
        <v>53</v>
      </c>
      <c r="H40" s="7">
        <v>6.083743842364532</v>
      </c>
      <c r="J40" s="4" t="s">
        <v>21</v>
      </c>
      <c r="K40" s="6">
        <v>50152208.250000007</v>
      </c>
      <c r="L40" s="6">
        <v>11580371.250000002</v>
      </c>
      <c r="M40" s="5">
        <v>14230</v>
      </c>
    </row>
    <row r="41" spans="4:13" x14ac:dyDescent="0.3">
      <c r="G41" s="4" t="s">
        <v>1149</v>
      </c>
      <c r="H41" s="7">
        <v>5.620498614958449</v>
      </c>
      <c r="J41" s="4" t="s">
        <v>100</v>
      </c>
      <c r="K41" s="6">
        <v>47706934.689999983</v>
      </c>
      <c r="L41" s="6">
        <v>12004369.690000003</v>
      </c>
      <c r="M41" s="5">
        <v>13621</v>
      </c>
    </row>
    <row r="42" spans="4:13" x14ac:dyDescent="0.3">
      <c r="J42" s="4" t="s">
        <v>89</v>
      </c>
      <c r="K42" s="6">
        <v>47185495.080000006</v>
      </c>
      <c r="L42" s="6">
        <v>11888422.079999998</v>
      </c>
      <c r="M42" s="5">
        <v>13545</v>
      </c>
    </row>
    <row r="43" spans="4:13" x14ac:dyDescent="0.3">
      <c r="J43" s="4" t="s">
        <v>69</v>
      </c>
      <c r="K43" s="6">
        <v>46721375.609999999</v>
      </c>
      <c r="L43" s="6">
        <v>10956406.609999999</v>
      </c>
      <c r="M43" s="5">
        <v>14620</v>
      </c>
    </row>
    <row r="44" spans="4:13" x14ac:dyDescent="0.3">
      <c r="J44" s="4" t="s">
        <v>75</v>
      </c>
      <c r="K44" s="6">
        <v>46315091.770000003</v>
      </c>
      <c r="L44" s="6">
        <v>10866869.770000001</v>
      </c>
      <c r="M44" s="5">
        <v>13766</v>
      </c>
    </row>
    <row r="45" spans="4:13" x14ac:dyDescent="0.3">
      <c r="J45" s="4" t="s">
        <v>45</v>
      </c>
      <c r="K45" s="6">
        <v>46272947.379999995</v>
      </c>
      <c r="L45" s="6">
        <v>11750588.380000001</v>
      </c>
      <c r="M45" s="5">
        <v>13926</v>
      </c>
    </row>
    <row r="46" spans="4:13" x14ac:dyDescent="0.3">
      <c r="J46" s="4" t="s">
        <v>94</v>
      </c>
      <c r="K46" s="6">
        <v>46258213.049999982</v>
      </c>
      <c r="L46" s="6">
        <v>11111706.050000004</v>
      </c>
      <c r="M46" s="5">
        <v>13769</v>
      </c>
    </row>
    <row r="47" spans="4:13" x14ac:dyDescent="0.3">
      <c r="J47" s="4" t="s">
        <v>55</v>
      </c>
      <c r="K47" s="6">
        <v>46047397.529999994</v>
      </c>
      <c r="L47" s="6">
        <v>11621556.529999999</v>
      </c>
      <c r="M47" s="5">
        <v>14393</v>
      </c>
    </row>
    <row r="48" spans="4:13" x14ac:dyDescent="0.3">
      <c r="J48" s="4" t="s">
        <v>1149</v>
      </c>
      <c r="K48" s="6">
        <v>491454384.56999993</v>
      </c>
      <c r="L48" s="6">
        <v>120998593.56999999</v>
      </c>
      <c r="M48" s="5">
        <v>144051</v>
      </c>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
  <sheetViews>
    <sheetView showGridLines="0" zoomScaleNormal="100" workbookViewId="0">
      <selection activeCell="G37" sqref="G37"/>
    </sheetView>
  </sheetViews>
  <sheetFormatPr defaultRowHeight="14.4" x14ac:dyDescent="0.3"/>
  <sheetData>
    <row r="4" spans="1:1" x14ac:dyDescent="0.3">
      <c r="A4"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S36" sqref="S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861FF5-54A8-4F42-8310-4312264853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Pivots</vt:lpstr>
      <vt:lpstr>Executive Analysis</vt:lpstr>
      <vt:lpstr>Operations &amp; Inventory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2026-07-29T15:05:57Z</dcterms:created>
  <dcterms:modified xsi:type="dcterms:W3CDTF">2026-07-30T23:49:31Z</dcterms:modified>
</cp:coreProperties>
</file>